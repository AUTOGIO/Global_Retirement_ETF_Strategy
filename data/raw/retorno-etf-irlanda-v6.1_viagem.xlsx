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fgiovannini/Documents/GitHub/Global_Retirement_ETF_Strategy/docs/"/>
    </mc:Choice>
  </mc:AlternateContent>
  <xr:revisionPtr revIDLastSave="0" documentId="13_ncr:1_{EE97641C-26DF-154B-BC96-3473D21580C0}" xr6:coauthVersionLast="47" xr6:coauthVersionMax="47" xr10:uidLastSave="{00000000-0000-0000-0000-000000000000}"/>
  <bookViews>
    <workbookView xWindow="22320" yWindow="620" windowWidth="37820" windowHeight="16300" xr2:uid="{00000000-000D-0000-FFFF-FFFF00000000}"/>
  </bookViews>
  <sheets>
    <sheet name="ETF Due Diligence" sheetId="7" r:id="rId1"/>
    <sheet name="Dashboard Visual" sheetId="1" r:id="rId2"/>
    <sheet name="Aportes Trimestrais" sheetId="2" r:id="rId3"/>
    <sheet name="Comparativo de Cenários" sheetId="3" r:id="rId4"/>
    <sheet name="Cenário 1 - Buy &amp; Hold" sheetId="4" r:id="rId5"/>
    <sheet name="Cenário 2 - Rebalanceamento" sheetId="5" r:id="rId6"/>
    <sheet name="ETF Sources" sheetId="8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5" i="7" l="1"/>
  <c r="E134" i="7"/>
  <c r="E133" i="7"/>
  <c r="E132" i="7"/>
  <c r="D70" i="7"/>
  <c r="C98" i="7"/>
  <c r="C100" i="7"/>
  <c r="C99" i="7"/>
  <c r="B12" i="7"/>
  <c r="D11" i="7"/>
  <c r="E42" i="7"/>
  <c r="F41" i="7"/>
  <c r="F40" i="7"/>
  <c r="F39" i="7"/>
  <c r="E41" i="7"/>
  <c r="E40" i="7"/>
  <c r="E39" i="7"/>
  <c r="D41" i="7"/>
  <c r="D40" i="7"/>
  <c r="D39" i="7"/>
  <c r="E31" i="7"/>
  <c r="D31" i="7"/>
  <c r="E30" i="7"/>
  <c r="D30" i="7"/>
  <c r="E28" i="7"/>
  <c r="D28" i="7"/>
  <c r="E27" i="7"/>
  <c r="D27" i="7"/>
  <c r="C27" i="7"/>
  <c r="C25" i="7"/>
  <c r="E24" i="7"/>
  <c r="D24" i="7"/>
  <c r="C24" i="7"/>
  <c r="C22" i="7"/>
  <c r="E21" i="7"/>
  <c r="D21" i="7"/>
  <c r="C21" i="7"/>
  <c r="E20" i="7"/>
  <c r="D20" i="7"/>
  <c r="C20" i="7"/>
  <c r="F11" i="7"/>
  <c r="B11" i="7"/>
  <c r="E21" i="1"/>
  <c r="E20" i="1"/>
  <c r="E11" i="1"/>
  <c r="E10" i="1"/>
  <c r="H36" i="5"/>
  <c r="B20" i="4"/>
  <c r="H42" i="2"/>
  <c r="H41" i="2"/>
  <c r="G50" i="2"/>
  <c r="G49" i="2"/>
  <c r="G48" i="2"/>
  <c r="G47" i="2"/>
  <c r="G46" i="2"/>
  <c r="G45" i="2"/>
  <c r="G44" i="2"/>
  <c r="G42" i="2"/>
  <c r="G41" i="2"/>
  <c r="F50" i="2"/>
  <c r="F49" i="2"/>
  <c r="F48" i="2"/>
  <c r="F46" i="2"/>
  <c r="D42" i="2"/>
  <c r="D41" i="2"/>
  <c r="C50" i="2"/>
  <c r="C49" i="2"/>
  <c r="C48" i="2"/>
  <c r="C47" i="2"/>
  <c r="C46" i="2"/>
  <c r="C45" i="2"/>
  <c r="C44" i="2"/>
  <c r="C42" i="2"/>
  <c r="C41" i="2"/>
  <c r="B50" i="2"/>
  <c r="B49" i="2"/>
  <c r="B48" i="2"/>
  <c r="B46" i="2"/>
  <c r="F43" i="2"/>
  <c r="B43" i="2"/>
  <c r="G30" i="1"/>
  <c r="G31" i="1" s="1"/>
  <c r="G29" i="1"/>
  <c r="G28" i="1"/>
  <c r="F31" i="1"/>
  <c r="E31" i="1"/>
  <c r="E30" i="5"/>
  <c r="B30" i="5"/>
  <c r="K8" i="5"/>
  <c r="K9" i="5" s="1"/>
  <c r="K10" i="5" s="1"/>
  <c r="K11" i="5" s="1"/>
  <c r="K12" i="5" s="1"/>
  <c r="K13" i="5" s="1"/>
  <c r="K14" i="5" s="1"/>
  <c r="K15" i="5" s="1"/>
  <c r="O7" i="5"/>
  <c r="O8" i="5" s="1"/>
  <c r="O9" i="5" s="1"/>
  <c r="O10" i="5" s="1"/>
  <c r="O11" i="5" s="1"/>
  <c r="O12" i="5" s="1"/>
  <c r="O13" i="5" s="1"/>
  <c r="O14" i="5" s="1"/>
  <c r="O15" i="5" s="1"/>
  <c r="K7" i="5"/>
  <c r="I7" i="5"/>
  <c r="M7" i="5" s="1"/>
  <c r="P7" i="5" s="1"/>
  <c r="H7" i="5"/>
  <c r="H8" i="5" s="1"/>
  <c r="H9" i="5" s="1"/>
  <c r="G7" i="5"/>
  <c r="G8" i="5" s="1"/>
  <c r="G9" i="5" s="1"/>
  <c r="F7" i="5"/>
  <c r="F8" i="5" s="1"/>
  <c r="L6" i="5"/>
  <c r="I6" i="5"/>
  <c r="M6" i="5" s="1"/>
  <c r="P6" i="5" s="1"/>
  <c r="B24" i="4"/>
  <c r="E18" i="4"/>
  <c r="E24" i="4" s="1"/>
  <c r="F9" i="4"/>
  <c r="F10" i="4" s="1"/>
  <c r="O8" i="4"/>
  <c r="O9" i="4" s="1"/>
  <c r="O10" i="4" s="1"/>
  <c r="O11" i="4" s="1"/>
  <c r="O12" i="4" s="1"/>
  <c r="O13" i="4" s="1"/>
  <c r="O14" i="4" s="1"/>
  <c r="F8" i="4"/>
  <c r="O7" i="4"/>
  <c r="M7" i="4"/>
  <c r="P7" i="4" s="1"/>
  <c r="K7" i="4"/>
  <c r="L7" i="4" s="1"/>
  <c r="I7" i="4"/>
  <c r="H7" i="4"/>
  <c r="H8" i="4" s="1"/>
  <c r="H9" i="4" s="1"/>
  <c r="H10" i="4" s="1"/>
  <c r="H11" i="4" s="1"/>
  <c r="H12" i="4" s="1"/>
  <c r="H13" i="4" s="1"/>
  <c r="H14" i="4" s="1"/>
  <c r="G7" i="4"/>
  <c r="G8" i="4" s="1"/>
  <c r="G9" i="4" s="1"/>
  <c r="G10" i="4" s="1"/>
  <c r="G11" i="4" s="1"/>
  <c r="G12" i="4" s="1"/>
  <c r="G13" i="4" s="1"/>
  <c r="G14" i="4" s="1"/>
  <c r="F7" i="4"/>
  <c r="I6" i="4"/>
  <c r="M6" i="4" s="1"/>
  <c r="P6" i="4" s="1"/>
  <c r="F44" i="2"/>
  <c r="B44" i="2"/>
  <c r="M36" i="2"/>
  <c r="F41" i="2" s="1"/>
  <c r="F36" i="2"/>
  <c r="B41" i="2" s="1"/>
  <c r="M35" i="2"/>
  <c r="O35" i="2" s="1"/>
  <c r="F35" i="2"/>
  <c r="H35" i="2" s="1"/>
  <c r="M34" i="2"/>
  <c r="O34" i="2" s="1"/>
  <c r="F34" i="2"/>
  <c r="H34" i="2" s="1"/>
  <c r="M33" i="2"/>
  <c r="O33" i="2" s="1"/>
  <c r="F33" i="2"/>
  <c r="H33" i="2" s="1"/>
  <c r="M32" i="2"/>
  <c r="O32" i="2" s="1"/>
  <c r="F32" i="2"/>
  <c r="H32" i="2" s="1"/>
  <c r="M31" i="2"/>
  <c r="O31" i="2" s="1"/>
  <c r="F31" i="2"/>
  <c r="H31" i="2" s="1"/>
  <c r="M30" i="2"/>
  <c r="O30" i="2" s="1"/>
  <c r="F30" i="2"/>
  <c r="H30" i="2" s="1"/>
  <c r="M29" i="2"/>
  <c r="O29" i="2" s="1"/>
  <c r="F29" i="2"/>
  <c r="H29" i="2" s="1"/>
  <c r="M28" i="2"/>
  <c r="O28" i="2" s="1"/>
  <c r="F28" i="2"/>
  <c r="H28" i="2" s="1"/>
  <c r="M27" i="2"/>
  <c r="O27" i="2" s="1"/>
  <c r="F27" i="2"/>
  <c r="H27" i="2" s="1"/>
  <c r="M26" i="2"/>
  <c r="O26" i="2" s="1"/>
  <c r="F26" i="2"/>
  <c r="H26" i="2" s="1"/>
  <c r="M25" i="2"/>
  <c r="O25" i="2" s="1"/>
  <c r="F25" i="2"/>
  <c r="H25" i="2" s="1"/>
  <c r="M24" i="2"/>
  <c r="O24" i="2" s="1"/>
  <c r="F24" i="2"/>
  <c r="H24" i="2" s="1"/>
  <c r="M23" i="2"/>
  <c r="O23" i="2" s="1"/>
  <c r="F23" i="2"/>
  <c r="H23" i="2" s="1"/>
  <c r="M22" i="2"/>
  <c r="O22" i="2" s="1"/>
  <c r="F22" i="2"/>
  <c r="H22" i="2" s="1"/>
  <c r="M21" i="2"/>
  <c r="O21" i="2" s="1"/>
  <c r="F21" i="2"/>
  <c r="H21" i="2" s="1"/>
  <c r="M20" i="2"/>
  <c r="O20" i="2" s="1"/>
  <c r="F20" i="2"/>
  <c r="H20" i="2" s="1"/>
  <c r="M19" i="2"/>
  <c r="O19" i="2" s="1"/>
  <c r="F19" i="2"/>
  <c r="H19" i="2" s="1"/>
  <c r="M18" i="2"/>
  <c r="O18" i="2" s="1"/>
  <c r="F18" i="2"/>
  <c r="H18" i="2" s="1"/>
  <c r="M17" i="2"/>
  <c r="O17" i="2" s="1"/>
  <c r="F17" i="2"/>
  <c r="H17" i="2" s="1"/>
  <c r="M16" i="2"/>
  <c r="O16" i="2" s="1"/>
  <c r="F16" i="2"/>
  <c r="H16" i="2" s="1"/>
  <c r="M15" i="2"/>
  <c r="O15" i="2" s="1"/>
  <c r="F15" i="2"/>
  <c r="H15" i="2" s="1"/>
  <c r="M14" i="2"/>
  <c r="O14" i="2" s="1"/>
  <c r="F14" i="2"/>
  <c r="H14" i="2" s="1"/>
  <c r="M13" i="2"/>
  <c r="O13" i="2" s="1"/>
  <c r="F13" i="2"/>
  <c r="H13" i="2" s="1"/>
  <c r="M12" i="2"/>
  <c r="O12" i="2" s="1"/>
  <c r="F12" i="2"/>
  <c r="H12" i="2" s="1"/>
  <c r="M11" i="2"/>
  <c r="O11" i="2" s="1"/>
  <c r="F11" i="2"/>
  <c r="H11" i="2" s="1"/>
  <c r="M10" i="2"/>
  <c r="O10" i="2" s="1"/>
  <c r="F10" i="2"/>
  <c r="H10" i="2" s="1"/>
  <c r="M9" i="2"/>
  <c r="O9" i="2" s="1"/>
  <c r="F9" i="2"/>
  <c r="H9" i="2" s="1"/>
  <c r="M8" i="2"/>
  <c r="O8" i="2" s="1"/>
  <c r="F8" i="2"/>
  <c r="H8" i="2" s="1"/>
  <c r="M7" i="2"/>
  <c r="O7" i="2" s="1"/>
  <c r="F7" i="2"/>
  <c r="H7" i="2" s="1"/>
  <c r="M6" i="2"/>
  <c r="O6" i="2" s="1"/>
  <c r="F6" i="2"/>
  <c r="H6" i="2" s="1"/>
  <c r="I10" i="4" l="1"/>
  <c r="F11" i="4"/>
  <c r="F9" i="5"/>
  <c r="I8" i="5"/>
  <c r="I8" i="4"/>
  <c r="I9" i="4"/>
  <c r="H36" i="2"/>
  <c r="B42" i="2" s="1"/>
  <c r="B8" i="3"/>
  <c r="K8" i="4"/>
  <c r="K9" i="4" s="1"/>
  <c r="K10" i="4" s="1"/>
  <c r="K11" i="4" s="1"/>
  <c r="K12" i="4" s="1"/>
  <c r="K13" i="4" s="1"/>
  <c r="K14" i="4" s="1"/>
  <c r="O36" i="2"/>
  <c r="F42" i="2" s="1"/>
  <c r="L7" i="5"/>
  <c r="L6" i="4"/>
  <c r="F45" i="2" l="1"/>
  <c r="M8" i="5"/>
  <c r="P8" i="5" s="1"/>
  <c r="L8" i="5"/>
  <c r="I9" i="5"/>
  <c r="B45" i="2"/>
  <c r="M9" i="4"/>
  <c r="P9" i="4" s="1"/>
  <c r="L9" i="4"/>
  <c r="I11" i="4"/>
  <c r="F12" i="4"/>
  <c r="M8" i="4"/>
  <c r="P8" i="4" s="1"/>
  <c r="L8" i="4"/>
  <c r="M10" i="4"/>
  <c r="P10" i="4" s="1"/>
  <c r="L10" i="4"/>
  <c r="M9" i="5" l="1"/>
  <c r="P9" i="5" s="1"/>
  <c r="L9" i="5"/>
  <c r="I12" i="4"/>
  <c r="F13" i="4"/>
  <c r="M11" i="4"/>
  <c r="P11" i="4" s="1"/>
  <c r="L11" i="4"/>
  <c r="I13" i="4" l="1"/>
  <c r="F14" i="4"/>
  <c r="I14" i="4" s="1"/>
  <c r="C22" i="1"/>
  <c r="C23" i="1"/>
  <c r="F47" i="2"/>
  <c r="L12" i="4"/>
  <c r="M12" i="4"/>
  <c r="P12" i="4" s="1"/>
  <c r="B23" i="1"/>
  <c r="B22" i="1"/>
  <c r="B47" i="2"/>
  <c r="C18" i="1" l="1"/>
  <c r="B18" i="1"/>
  <c r="E23" i="1"/>
  <c r="D23" i="1"/>
  <c r="E22" i="1"/>
  <c r="D22" i="1"/>
  <c r="M14" i="4"/>
  <c r="L14" i="4"/>
  <c r="B23" i="4" s="1"/>
  <c r="B17" i="4"/>
  <c r="B6" i="3" s="1"/>
  <c r="M13" i="4"/>
  <c r="P13" i="4" s="1"/>
  <c r="L13" i="4"/>
  <c r="B16" i="1" l="1"/>
  <c r="B19" i="1"/>
  <c r="B21" i="1"/>
  <c r="B16" i="3"/>
  <c r="E25" i="4"/>
  <c r="C19" i="1"/>
  <c r="C21" i="1"/>
  <c r="E17" i="4"/>
  <c r="P14" i="4"/>
  <c r="E23" i="4" s="1"/>
  <c r="C16" i="1"/>
  <c r="E18" i="1"/>
  <c r="D18" i="1"/>
  <c r="E16" i="1" l="1"/>
  <c r="D16" i="1"/>
  <c r="C20" i="1"/>
  <c r="C17" i="1"/>
  <c r="B17" i="3"/>
  <c r="B25" i="4"/>
  <c r="B20" i="1"/>
  <c r="B17" i="1"/>
  <c r="B7" i="3"/>
  <c r="B12" i="3"/>
  <c r="B19" i="4"/>
  <c r="B13" i="3"/>
  <c r="D21" i="1"/>
  <c r="E19" i="1"/>
  <c r="D19" i="1"/>
  <c r="B14" i="3" l="1"/>
  <c r="B6" i="1"/>
  <c r="D17" i="1"/>
  <c r="E17" i="1"/>
  <c r="B10" i="3"/>
  <c r="E26" i="4"/>
  <c r="B11" i="3"/>
  <c r="B12" i="1" s="1"/>
  <c r="B45" i="1" s="1"/>
  <c r="B26" i="4"/>
  <c r="D20" i="1"/>
  <c r="B15" i="3"/>
  <c r="B8" i="1"/>
  <c r="B41" i="1" l="1"/>
  <c r="B18" i="3"/>
  <c r="B13" i="1" s="1"/>
  <c r="C45" i="1" s="1"/>
  <c r="B27" i="4"/>
  <c r="B20" i="3" s="1"/>
  <c r="B19" i="3"/>
  <c r="E27" i="4"/>
  <c r="B21" i="3" s="1"/>
  <c r="B23" i="3" l="1"/>
  <c r="B11" i="1" s="1"/>
  <c r="B9" i="1"/>
  <c r="B22" i="3"/>
  <c r="B10" i="1" s="1"/>
  <c r="B7" i="1"/>
  <c r="C41" i="1" l="1"/>
  <c r="G10" i="5"/>
  <c r="G11" i="5" s="1"/>
  <c r="H10" i="5"/>
  <c r="H11" i="5" s="1"/>
  <c r="H12" i="5" s="1"/>
  <c r="H13" i="5" s="1"/>
  <c r="H14" i="5" s="1"/>
  <c r="H15" i="5" s="1"/>
  <c r="E18" i="5"/>
  <c r="B19" i="5"/>
  <c r="F11" i="5"/>
  <c r="F12" i="5"/>
  <c r="F13" i="5"/>
  <c r="F14" i="5"/>
  <c r="F15" i="5" s="1"/>
  <c r="F10" i="5"/>
  <c r="E19" i="5"/>
  <c r="I10" i="5" l="1"/>
  <c r="B24" i="5"/>
  <c r="C8" i="3" s="1"/>
  <c r="D8" i="3" s="1"/>
  <c r="E8" i="3" s="1"/>
  <c r="L10" i="5"/>
  <c r="M10" i="5"/>
  <c r="P10" i="5" s="1"/>
  <c r="G12" i="5"/>
  <c r="I11" i="5"/>
  <c r="B20" i="5"/>
  <c r="E20" i="5" s="1"/>
  <c r="C9" i="3" l="1"/>
  <c r="D9" i="3" s="1"/>
  <c r="E9" i="3" s="1"/>
  <c r="L11" i="5"/>
  <c r="M11" i="5"/>
  <c r="P11" i="5" s="1"/>
  <c r="G13" i="5"/>
  <c r="I12" i="5"/>
  <c r="M12" i="5" l="1"/>
  <c r="P12" i="5" s="1"/>
  <c r="L12" i="5"/>
  <c r="G14" i="5"/>
  <c r="I13" i="5"/>
  <c r="M13" i="5" l="1"/>
  <c r="P13" i="5" s="1"/>
  <c r="L13" i="5"/>
  <c r="G15" i="5"/>
  <c r="I15" i="5" s="1"/>
  <c r="I14" i="5"/>
  <c r="M14" i="5" l="1"/>
  <c r="P14" i="5" s="1"/>
  <c r="L14" i="5"/>
  <c r="B23" i="5"/>
  <c r="C6" i="3" s="1"/>
  <c r="D6" i="3" s="1"/>
  <c r="E6" i="3" s="1"/>
  <c r="L15" i="5"/>
  <c r="B29" i="5" s="1"/>
  <c r="M15" i="5"/>
  <c r="P15" i="5" l="1"/>
  <c r="E29" i="5" s="1"/>
  <c r="E23" i="5"/>
  <c r="C16" i="3"/>
  <c r="D16" i="3" s="1"/>
  <c r="E16" i="3" s="1"/>
  <c r="E31" i="5"/>
  <c r="C7" i="3" l="1"/>
  <c r="D7" i="3" s="1"/>
  <c r="E7" i="3" s="1"/>
  <c r="B25" i="5"/>
  <c r="B26" i="5" s="1"/>
  <c r="B31" i="5"/>
  <c r="C17" i="3"/>
  <c r="D17" i="3" s="1"/>
  <c r="E17" i="3" s="1"/>
  <c r="C10" i="3" l="1"/>
  <c r="D10" i="3" s="1"/>
  <c r="E10" i="3" s="1"/>
  <c r="E26" i="5"/>
  <c r="B32" i="5"/>
  <c r="E32" i="5"/>
  <c r="C19" i="3" l="1"/>
  <c r="D19" i="3" s="1"/>
  <c r="E19" i="3" s="1"/>
  <c r="E33" i="5"/>
  <c r="C21" i="3" s="1"/>
  <c r="C18" i="3"/>
  <c r="B33" i="5"/>
  <c r="C20" i="3" s="1"/>
  <c r="C11" i="3"/>
  <c r="C12" i="3"/>
  <c r="C13" i="3"/>
  <c r="C13" i="1" l="1"/>
  <c r="D18" i="3"/>
  <c r="E18" i="3" s="1"/>
  <c r="C14" i="3"/>
  <c r="D13" i="3"/>
  <c r="E13" i="3" s="1"/>
  <c r="C6" i="1"/>
  <c r="C15" i="3"/>
  <c r="D12" i="3"/>
  <c r="E12" i="3" s="1"/>
  <c r="C8" i="1"/>
  <c r="D8" i="1" s="1"/>
  <c r="E8" i="1" s="1"/>
  <c r="C12" i="1"/>
  <c r="D11" i="3"/>
  <c r="E11" i="3" s="1"/>
  <c r="C9" i="1"/>
  <c r="D9" i="1" s="1"/>
  <c r="E9" i="1" s="1"/>
  <c r="C23" i="3"/>
  <c r="D20" i="3"/>
  <c r="E20" i="3" s="1"/>
  <c r="D21" i="3"/>
  <c r="E21" i="3" s="1"/>
  <c r="C22" i="3"/>
  <c r="C7" i="1"/>
  <c r="C42" i="1" l="1"/>
  <c r="D7" i="1"/>
  <c r="E7" i="1" s="1"/>
  <c r="E15" i="3"/>
  <c r="D15" i="3"/>
  <c r="C10" i="1"/>
  <c r="D22" i="3"/>
  <c r="E22" i="3"/>
  <c r="E14" i="3"/>
  <c r="D14" i="3"/>
  <c r="D23" i="3"/>
  <c r="E23" i="3"/>
  <c r="C11" i="1"/>
  <c r="B46" i="1"/>
  <c r="D12" i="1"/>
  <c r="E12" i="1" s="1"/>
  <c r="B42" i="1"/>
  <c r="D6" i="1"/>
  <c r="E6" i="1" s="1"/>
  <c r="C46" i="1"/>
  <c r="D13" i="1"/>
  <c r="E13" i="1" s="1"/>
  <c r="D10" i="1" l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E10" authorId="0" shapeId="0" xr:uid="{58451B5C-DEAE-C449-A760-BEF1D6E66271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(não % de ganho), pois as linhas 10-11 já são percentuais.</t>
        </r>
      </text>
    </comment>
    <comment ref="E11" authorId="0" shapeId="0" xr:uid="{CCDC336C-B133-E64A-8AD9-D2493F6B1347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(não % de ganho), pois as linhas 10-11 já são percentuais.</t>
        </r>
      </text>
    </comment>
    <comment ref="E20" authorId="0" shapeId="0" xr:uid="{4A3DD94D-F4B1-8F41-B90A-5FEED349BB28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entre os cenários de aporte.</t>
        </r>
      </text>
    </comment>
    <comment ref="E21" authorId="0" shapeId="0" xr:uid="{E3DA2167-ED62-A043-AD7A-6991F6753243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entre os cenários de aporte.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C43" authorId="0" shapeId="0" xr:uid="{30D46997-527C-DF44-A267-29AB71FE38B8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Capital contribuído deflacionado pelo US CPI da data de cada aporte (valor de t0=2019). Input calculado externamente.</t>
        </r>
      </text>
    </comment>
    <comment ref="G43" authorId="0" shapeId="0" xr:uid="{898C0038-D155-894B-850D-24B8816BBB95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Capital contribuído deflacionado pelo US CPI da data de cada aporte (valor de t0=2019). Input calculado externamente.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B18" authorId="0" shapeId="0" xr:uid="{332B1DFC-58BE-D640-A087-625359F22D6F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Input: valor de VWRA vendido no rebalanceamento de dez/2021 (USD).</t>
        </r>
      </text>
    </comment>
  </commentList>
</comments>
</file>

<file path=xl/sharedStrings.xml><?xml version="1.0" encoding="utf-8"?>
<sst xmlns="http://schemas.openxmlformats.org/spreadsheetml/2006/main" count="882" uniqueCount="679">
  <si>
    <t>Análise Visual de Retorno Real Líquido, Impacto da Inflação e Comparação Tática de Cenários (2019 - 2026)</t>
  </si>
  <si>
    <t xml:space="preserve"> 1. INDICADORES CHAVE DE DESEMPENHO LÍQUIDO FINAL (MAIO 2026)</t>
  </si>
  <si>
    <t>Métrica Líquida Final</t>
  </si>
  <si>
    <t>Cenário 1: Buy &amp; Hold (Diferimento)</t>
  </si>
  <si>
    <t>Cenário 2: Rebalanceamento (2021)</t>
  </si>
  <si>
    <t>Vantagem Real (C1 - C2)</t>
  </si>
  <si>
    <t>Ganho (%)</t>
  </si>
  <si>
    <t>Análise de Eficiência</t>
  </si>
  <si>
    <t>Patrimônio Líquido Nominal (USD Equiv.)</t>
  </si>
  <si>
    <t>Saldo final líquido de imposto brasileiro mantido em USD na IBKR.</t>
  </si>
  <si>
    <t>Patrimônio Líquido Real USD (CPI-adj)</t>
  </si>
  <si>
    <t>Poder de compra real final líquido na conta americana (t0 = 2019).</t>
  </si>
  <si>
    <t>Patrimônio Líquido Nominal (BRL)</t>
  </si>
  <si>
    <t>Valor líquido total convertido pelo câmbio de venda PTAX 5,1550.</t>
  </si>
  <si>
    <t>Patrimônio Líquido Real BRL (IPCA-adj)</t>
  </si>
  <si>
    <t>Poder de compra líquido real final no Brasil (t0 = 2019).</t>
  </si>
  <si>
    <t>Retorno Líquido Real USD Acumulado (%)</t>
  </si>
  <si>
    <t>Retorno composto real (descontados impostos e inflação US CPI).</t>
  </si>
  <si>
    <t>Retorno Líquido Real BRL Acumulado (%)</t>
  </si>
  <si>
    <t>Retorno composto real (descontados impostos e inflação IPCA).</t>
  </si>
  <si>
    <t>Total de Impostos Nominais Pagos (BRL)</t>
  </si>
  <si>
    <t>Total de IR pago (Cenário 1 diferiu tudo; Cenário 2 pagou em 2021/2026).</t>
  </si>
  <si>
    <t>Total de Impostos Reais Pagos (BRL em t0)</t>
  </si>
  <si>
    <t>Total de impostos trazidos a valor real de t0 (2019) descontando IPCA.</t>
  </si>
  <si>
    <t>Cenário A: +USD 5k / Trimestre</t>
  </si>
  <si>
    <t>Cenário B: +USD 10k / Trimestre</t>
  </si>
  <si>
    <t>Vantagem Real (B - A)</t>
  </si>
  <si>
    <t>Total de IR pago (Lei 14.754/2023, 15% sobre o ganho de capital).</t>
  </si>
  <si>
    <t>Custo tributário real trazido a valor presente de 2019 pelo IPCA.</t>
  </si>
  <si>
    <t>Classe de Ativo</t>
  </si>
  <si>
    <t>Ticker</t>
  </si>
  <si>
    <t>Bolsa / Domicílio</t>
  </si>
  <si>
    <t>ISIN</t>
  </si>
  <si>
    <t>Peso-Alvo (%)</t>
  </si>
  <si>
    <t>Custo Inicial (USD)</t>
  </si>
  <si>
    <t>Custo Inicial (BRL)</t>
  </si>
  <si>
    <t>Papel Estrutural na Carteira</t>
  </si>
  <si>
    <t>Ações Globais (Desenvolvidos &amp; Emergentes)</t>
  </si>
  <si>
    <t>VWRA</t>
  </si>
  <si>
    <t>LSE / Irlanda</t>
  </si>
  <si>
    <t>Motor principal de valorização real e acúmulo no longo prazo.</t>
  </si>
  <si>
    <t>Títulos Soberanos EUA Indexados à Inflação</t>
  </si>
  <si>
    <t>ITPS</t>
  </si>
  <si>
    <t>Renda Fixa Global (Hedged em USD)</t>
  </si>
  <si>
    <t>AGGU</t>
  </si>
  <si>
    <t>IE00BZ043R46</t>
  </si>
  <si>
    <t>Total do Portfólio</t>
  </si>
  <si>
    <t>Ativo de Referência</t>
  </si>
  <si>
    <t>VWRA (Ações)</t>
  </si>
  <si>
    <t>ITPS (TIPS)</t>
  </si>
  <si>
    <t>AGGU (Bonds)</t>
  </si>
  <si>
    <t>Análise de Diversificação Estrutural</t>
  </si>
  <si>
    <t>VWRA (Ações Globais)</t>
  </si>
  <si>
    <t>AGGU (Bonds Globais)</t>
  </si>
  <si>
    <t>Cenário</t>
  </si>
  <si>
    <t>Nominal USD</t>
  </si>
  <si>
    <t>Real USD (t0)</t>
  </si>
  <si>
    <t>Cenário 1: Buy &amp; Hold</t>
  </si>
  <si>
    <t>Cenário 2: Rebalanceamento</t>
  </si>
  <si>
    <t>Imposto Nominal BRL</t>
  </si>
  <si>
    <t>Imposto Real BRL (t0)</t>
  </si>
  <si>
    <t>Gerado em: 2026-08-10 | v4.0 - Dashboards, Matrizes e Gráficos Embarcados | Grounded under Lei 14.754/2023</t>
  </si>
  <si>
    <t>SIMULAÇÃO COMPARATIVA DE APORTES TRIMESTRAIS DE CAPITAL NOVO (FRESH MONEY)</t>
  </si>
  <si>
    <t>Análise de Rebalanceamento por Novos Aportes (Top-Up Routing) sem vendas vs. Impacto Tributário (Lei 14.754/2023) e Inflação</t>
  </si>
  <si>
    <t>CENÁRIO A: APORTES RECORRENTES DE USD 5k / TRIMESTRE</t>
  </si>
  <si>
    <t>CENÁRIO B: APORTES RECORRENTES DE USD 10k / TRIMESTRE</t>
  </si>
  <si>
    <t>Período</t>
  </si>
  <si>
    <t>Taxa PTAX</t>
  </si>
  <si>
    <t>VWRA (USD)</t>
  </si>
  <si>
    <t>ITPS (USD)</t>
  </si>
  <si>
    <t>AGGU (USD)</t>
  </si>
  <si>
    <t>Saldo (USD)</t>
  </si>
  <si>
    <t>Aporte (USD)</t>
  </si>
  <si>
    <t>Saldo (BRL)</t>
  </si>
  <si>
    <t>Custo (BRL)</t>
  </si>
  <si>
    <t>2019-01-02 (Compra)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</si>
  <si>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</si>
  <si>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</si>
  <si>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</si>
  <si>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</si>
  <si>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</si>
  <si>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</si>
  <si>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</si>
  <si>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</si>
  <si>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</si>
  <si>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</si>
  <si>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</si>
  <si>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</si>
  <si>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</si>
  <si>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</si>
  <si>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</si>
  <si>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</si>
  <si>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</si>
  <si>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</si>
  <si>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</si>
  <si>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</si>
  <si>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</si>
  <si>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</si>
  <si>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</si>
  <si>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</si>
  <si>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</si>
  <si>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</si>
  <si>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</si>
  <si>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</si>
  <si>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</si>
  <si>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2026-May29</t>
  </si>
  <si>
    <t xml:space="preserve"> 2. MEMORANDO DE LIQUIDAÇÃO FISCAL E RETORNOS REAIS DESCONTADOS PELA INFLAÇÃO</t>
  </si>
  <si>
    <t>Métrica de Comparação Final (Venda em Maio/2026)</t>
  </si>
  <si>
    <t>Nominal</t>
  </si>
  <si>
    <t>Real (t0)</t>
  </si>
  <si>
    <t>Retorno (%)</t>
  </si>
  <si>
    <t>Análise Fiscal &amp; Econômica</t>
  </si>
  <si>
    <t>Valor Final da Carteira (USD)</t>
  </si>
  <si>
    <t>Total acumulado na conta americana.</t>
  </si>
  <si>
    <t>Valor Final da Carteira (BRL)</t>
  </si>
  <si>
    <t>Total convertido pela PTAX de venda.</t>
  </si>
  <si>
    <t>Total de Capital Contribuído (USD)</t>
  </si>
  <si>
    <t>Capital inicial + 29 aportes.</t>
  </si>
  <si>
    <t>Custo de Aquisição Declarado (BRL)</t>
  </si>
  <si>
    <t>Custo contábil para imposto de renda.</t>
  </si>
  <si>
    <t>Ganho de Capital Tributável (BRL)</t>
  </si>
  <si>
    <t>Ganho sujeito à tributação brasileira.</t>
  </si>
  <si>
    <t>Imposto de Renda Devido (BRL - 15%)</t>
  </si>
  <si>
    <t>Apuração de 15% sob a Lei 14.754/2023.</t>
  </si>
  <si>
    <t>Patrimônio Líquido Final (BRL)</t>
  </si>
  <si>
    <t>Patrimônio líquido real no Brasil.</t>
  </si>
  <si>
    <t>Patrimônio Líquido Final (USD Equiv.)</t>
  </si>
  <si>
    <t>Patrimônio líquido na conta da IBKR.</t>
  </si>
  <si>
    <t>Retorno Absoluto Líquido USD (%)</t>
  </si>
  <si>
    <t>Retorno líquido de inflação (US CPI) e IR.</t>
  </si>
  <si>
    <t>Retorno Absoluto Líquido BRL (%)</t>
  </si>
  <si>
    <t>Retorno líquido de inflação (IPCA) e IR.</t>
  </si>
  <si>
    <t>SIMULAÇÃO COMPARATIVA DE CENÁRIOS DE REBALANCEAMENTO (NOMINAL E REAL)</t>
  </si>
  <si>
    <t>Análise de impacto fiscal, custo de oportunidade e retornos descontados pela inflação oficial (US CPI e IPCA)</t>
  </si>
  <si>
    <t xml:space="preserve"> COMPARAÇÃO DE RESULTADOS FINAIS (LIQUIDAÇÃO EM MAIO 2026)</t>
  </si>
  <si>
    <t>Métrica</t>
  </si>
  <si>
    <t>Cenário 2: Rebalanceamento em 2021</t>
  </si>
  <si>
    <t>Diferença Absoluta</t>
  </si>
  <si>
    <t>Diferença (%)</t>
  </si>
  <si>
    <t>Análise de Impacto de Longo Prazo</t>
  </si>
  <si>
    <t>Valor Final da Carteira Nominal (USD)</t>
  </si>
  <si>
    <t>O rebalanceamento vendeu ações (VWRA) para comprar bonds, reduzindo o patrimônio final bruto em USD.</t>
  </si>
  <si>
    <t>Valor Final da Carteira Nominal (BRL)</t>
  </si>
  <si>
    <t>Reflete a desvalorização cambial acumulada do Real, ampliando o ganho medido em moeda local.</t>
  </si>
  <si>
    <t>Custo de Aquisição Final Declarado (BRL)</t>
  </si>
  <si>
    <t>O rebalanceamento de 2021 ao câmbio alto de 5,5805 gerou um 'Basis Bump' legal no custo contábil do Cenário 2.</t>
  </si>
  <si>
    <t>Imposto de Renda Pago em 2021 (BRL)</t>
  </si>
  <si>
    <t>Cenário 2 pagou imposto de 15% na venda de ações para rebalancear. Cenário 1 diferiu 100%.</t>
  </si>
  <si>
    <t>Imposto de Renda Pago em 2026 (BRL)</t>
  </si>
  <si>
    <t>Liquidação final. Cenário 2 paga menos IR em 2026 por conta do custo de aquisição mais elevado (Basis Bump).</t>
  </si>
  <si>
    <t>No total absoluto nominal, o Cenário 2 pagou menos imposto devido à elevação do custo contábil em BRL.</t>
  </si>
  <si>
    <t>Patrimônio Líquido Final Nominal (BRL)</t>
  </si>
  <si>
    <t>O custo de oportunidade de vender ações em 2021 superou de longe a economia fiscal nominal gerada.</t>
  </si>
  <si>
    <t>Patrimônio Líquido Final Nominal (USD Equiv.)</t>
  </si>
  <si>
    <t>O investidor terminou com USD 11,3k adicionais na conta americana da IBKR no Cenário 1 (Buy &amp; Hold).</t>
  </si>
  <si>
    <t>Retorno Absoluto USD Líquido Nominal (%)</t>
  </si>
  <si>
    <t>Retorno nominal líquido sobre o capital inicial em USD de primeira trancha.</t>
  </si>
  <si>
    <t>Retorno Absoluto BRL Líquido Nominal (%)</t>
  </si>
  <si>
    <t>Retorno nominal líquido medido contra o custo inicial em BRL.</t>
  </si>
  <si>
    <t>Valor Final da Carteira Real (USD - CPI-adj)</t>
  </si>
  <si>
    <t>O poder de compra final real do portfólio brutificado em dólares (em termos de 2019).</t>
  </si>
  <si>
    <t>Valor Final da Carteira Real (BRL - IPCA-adj)</t>
  </si>
  <si>
    <t>O poder de compra final real brutificado em Reais (em termos de 2019).</t>
  </si>
  <si>
    <t>O valor real do imposto pago, trazido para t0 (2019) descontado pelo IPCA.</t>
  </si>
  <si>
    <t>Total de Impostos Reais Pagos (USD em t0)</t>
  </si>
  <si>
    <t>O valor real do imposto pago, trazido para t0 (2019) descontado pelo US CPI.</t>
  </si>
  <si>
    <t>Patrimônio Líquido Final Real (BRL em t0)</t>
  </si>
  <si>
    <t>O poder de compra líquido de impostos e inflação real no Brasil (em termos de 2019).</t>
  </si>
  <si>
    <t>Patrimônio Líquido Final Real (USD em t0)</t>
  </si>
  <si>
    <t>O poder de compra líquido de impostos e inflação real nos EUA (em termos de 2019).</t>
  </si>
  <si>
    <t>Retorno real líquido de impostos e inflação americana acumulado de 2019 a 2026.</t>
  </si>
  <si>
    <t>Retorno real líquido de impostos e inflação brasileira acumulado de 2019 a 2026.</t>
  </si>
  <si>
    <t>CENÁRIO 1: ESTRATÉGIA BUY &amp; HOLD (DIFERIMENTO INTEGRAL)</t>
  </si>
  <si>
    <t>Evolução anual e liquidação tributária nominal/real em maio de 2026 - Sem rebalanceamentos intermediários</t>
  </si>
  <si>
    <t xml:space="preserve"> 1. EVOLUÇÃO DO PORTFÓLIO, CAMBIO E INFLAÇÃO</t>
  </si>
  <si>
    <t>PTAX Câmbio</t>
  </si>
  <si>
    <t>Retorno VWRA</t>
  </si>
  <si>
    <t>Retorno ITPS</t>
  </si>
  <si>
    <t>Retorno AGGU</t>
  </si>
  <si>
    <t>Saldo Total (USD)</t>
  </si>
  <si>
    <t>US CPI Anual (%)</t>
  </si>
  <si>
    <t>US CPI Acum.</t>
  </si>
  <si>
    <t>Saldo Real USD</t>
  </si>
  <si>
    <t>Saldo Total (BRL)</t>
  </si>
  <si>
    <t>IPCA Anual (%)</t>
  </si>
  <si>
    <t>IPCA Acum.</t>
  </si>
  <si>
    <t>Saldo Real BRL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</si>
  <si>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</si>
  <si>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</si>
  <si>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</si>
  <si>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</si>
  <si>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</si>
  <si>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</si>
  <si>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</si>
  <si>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2026-05-29 (Venda)</t>
  </si>
  <si>
    <t xml:space="preserve"> 2. MEMORANDO DE TRIBUTAÇÃO NA LIQUIDAÇÃO NOMINAL E REAL (MAIO 2026)</t>
  </si>
  <si>
    <t>Saldo Final Nominal USD</t>
  </si>
  <si>
    <t>Saldo Final Nominal BRL</t>
  </si>
  <si>
    <t>Custo Inicial USD</t>
  </si>
  <si>
    <t>Custo Inicial BRL</t>
  </si>
  <si>
    <t>Ganho de Capital Nominal BRL</t>
  </si>
  <si>
    <t>Imposto de Renda Nominal (15%)</t>
  </si>
  <si>
    <t xml:space="preserve"> 3. ANÁLISE EM TERMOS REAIS (DESCONTADA A INFLAÇÃO NO PERÍODO)</t>
  </si>
  <si>
    <t>Saldo Final Real USD (US CPI-adj)</t>
  </si>
  <si>
    <t>Saldo Final Real BRL (IPCA-adj)</t>
  </si>
  <si>
    <t>Custo Inicial Real USD</t>
  </si>
  <si>
    <t>Custo Inicial Real BRL</t>
  </si>
  <si>
    <t>Ganho de Capital Real BRL</t>
  </si>
  <si>
    <t>Ganho de Capital Real USD</t>
  </si>
  <si>
    <t>Imposto de Renda Real BRL (em t0)</t>
  </si>
  <si>
    <t>Imposto de Renda Real USD (em t0)</t>
  </si>
  <si>
    <t>Patrimônio Líquido Real BRL (pós-IR)</t>
  </si>
  <si>
    <t>Patrimônio Líquido Real USD (pós-IR)</t>
  </si>
  <si>
    <t>CENÁRIO 2: ESTRATÉGIA COM REBALANCEAMENTO TÁTICO (DEZEMBRO 2021)</t>
  </si>
  <si>
    <t>Demonstrativo detalhado de venda de cotas de VWRA no pico cambial de 2021 para compra de ITPS e AGGU</t>
  </si>
  <si>
    <t>2021-12-31 (Antes Rebal.)</t>
  </si>
  <si>
    <t>2021-12-31 (Pós Rebal.)</t>
  </si>
  <si>
    <t xml:space="preserve"> 2. EVENTO TRIBUTÁRIO DE REBALANCEAMENTO (DEZEMBRO 2021)</t>
  </si>
  <si>
    <t>VWRA Vendido (USD)</t>
  </si>
  <si>
    <t>Fração Vendida (%)</t>
  </si>
  <si>
    <t>Custo Proporcional BRL</t>
  </si>
  <si>
    <t>Valor da Venda BRL</t>
  </si>
  <si>
    <t>Ganho de Capital BRL</t>
  </si>
  <si>
    <t>Imposto Pago em 2021 (BRL - 15%)</t>
  </si>
  <si>
    <t xml:space="preserve"> 3. MEMORANDO DE TRIBUTAÇÃO NA LIQUIDAÇÃO FINAL E REAL (MAIO 2026)</t>
  </si>
  <si>
    <t>Custo Final BRL (Médio Ponderado)</t>
  </si>
  <si>
    <t>Ganho de Capital BRL (2026)</t>
  </si>
  <si>
    <t>Imposto de Renda 2026 (15%)</t>
  </si>
  <si>
    <t>Total de Impostos Pagos (BRL)</t>
  </si>
  <si>
    <t xml:space="preserve"> 4. ANÁLISE EM TERMOS REAIS (DESCONTADA A INFLAÇÃO NO PERÍODO)</t>
  </si>
  <si>
    <t>Imposto Real BRL (em t0)</t>
  </si>
  <si>
    <t>Imposto Real USD (em t0)</t>
  </si>
  <si>
    <t>Premissas (inputs)</t>
  </si>
  <si>
    <t>Alíquota IR (Lei 14.754/2023)</t>
  </si>
  <si>
    <t>US CPI Acum. 2019-2026</t>
  </si>
  <si>
    <t>IPCA Acum. 2019-2026</t>
  </si>
  <si>
    <t>PTAX de venda (mai/2026)</t>
  </si>
  <si>
    <t>Premissa: Alíquota IR (Lei 14.754/2023)</t>
  </si>
  <si>
    <t>PAINEL DE ANÁLISE — RETORNO REAL LÍQUIDO DE ETF IRLANDÊS (2019–2026)</t>
  </si>
  <si>
    <t>Aloc. do produto da venda → ITPS / AGGU</t>
  </si>
  <si>
    <t xml:space="preserve"> 2. INDICADORES CHAVE DE DESEMPENHO LÍQUIDO FINAL - APORTES RECORRENTES (MAIO/2026)</t>
  </si>
  <si>
    <t xml:space="preserve"> 3. MATRIZ DE ALOCAÇÃO DE ATIVOS (PORTFÓLIO MODELO - REAL CORE)</t>
  </si>
  <si>
    <t xml:space="preserve"> 4. MATRIZ DE CORRELAÇÃO ESTIMADA DOS ATIVOS DA CARTEIRA</t>
  </si>
  <si>
    <t xml:space="preserve"> 5. DADOS AUXILIARES DOS GRÁFICOS (VINCULADOS)</t>
  </si>
  <si>
    <t>IE00BK5BQT80</t>
  </si>
  <si>
    <t>LSE (GBP) / Irlanda</t>
  </si>
  <si>
    <t>IE00B1FZSC47</t>
  </si>
  <si>
    <t>Proteção contra inflação dos EUA; sensível a variações dos juros reais.</t>
  </si>
  <si>
    <t>Diversificação global de renda fixa investment grade, com hedge cambial para USD.</t>
  </si>
  <si>
    <t>Fund</t>
  </si>
  <si>
    <t>Issuer</t>
  </si>
  <si>
    <t>Listing</t>
  </si>
  <si>
    <t>Trading Currency</t>
  </si>
  <si>
    <t>Domicile</t>
  </si>
  <si>
    <t>UCITS</t>
  </si>
  <si>
    <t>Share Class</t>
  </si>
  <si>
    <t>Benchmark</t>
  </si>
  <si>
    <t>Inception</t>
  </si>
  <si>
    <t>Replication</t>
  </si>
  <si>
    <t>Income</t>
  </si>
  <si>
    <t>TER / OCF</t>
  </si>
  <si>
    <t>Share Class AUM USD</t>
  </si>
  <si>
    <t>Fund AUM USD</t>
  </si>
  <si>
    <t>Holdings</t>
  </si>
  <si>
    <t>NAV USD</t>
  </si>
  <si>
    <t>YTD Return</t>
  </si>
  <si>
    <t>Weighted Avg YTM</t>
  </si>
  <si>
    <t>Real Yield</t>
  </si>
  <si>
    <t>Effective Duration</t>
  </si>
  <si>
    <t>Avg Maturity</t>
  </si>
  <si>
    <t>Std Dev 3Y</t>
  </si>
  <si>
    <t>Tracking Error 1Y</t>
  </si>
  <si>
    <t>P/E</t>
  </si>
  <si>
    <t>P/B</t>
  </si>
  <si>
    <t>US Weight</t>
  </si>
  <si>
    <t>Top-10 Weight</t>
  </si>
  <si>
    <t>Data As Of</t>
  </si>
  <si>
    <t>Official Source</t>
  </si>
  <si>
    <t>Due Diligence Note</t>
  </si>
  <si>
    <t>Vanguard FTSE All-World UCITS ETF USD Accumulating</t>
  </si>
  <si>
    <t>Vanguard</t>
  </si>
  <si>
    <t>London Stock Exchange</t>
  </si>
  <si>
    <t>USD</t>
  </si>
  <si>
    <t>Ireland</t>
  </si>
  <si>
    <t>Yes</t>
  </si>
  <si>
    <t>USD Accumulating</t>
  </si>
  <si>
    <t>FTSE All-World Index</t>
  </si>
  <si>
    <t>Physical, sampled</t>
  </si>
  <si>
    <t>Accumulating</t>
  </si>
  <si>
    <t>2026-06-30 / NAV 2026-08-03</t>
  </si>
  <si>
    <t>https://www.vanguard.co.uk/professional/product/etf/equity/9679/ftse-all-world-ucits-etf-usd-accumulating</t>
  </si>
  <si>
    <t>Large/mid-cap developed + emerging equities; check spread and NAV premium/discount live.</t>
  </si>
  <si>
    <t>iShares $ TIPS UCITS ETF</t>
  </si>
  <si>
    <t>BlackRock / iShares</t>
  </si>
  <si>
    <t>GBP</t>
  </si>
  <si>
    <t>Bloomberg US Government Inflation-Linked Bond Index (USD)</t>
  </si>
  <si>
    <t>https://www.ishares.com/uk/individual/en/products/251714/ishares-tips-ucits-etf</t>
  </si>
  <si>
    <t>ITPS is the GBP-traded LSE line; USD-traded LSE line is IDTP. Treasury issuer weight: 99.93%.</t>
  </si>
  <si>
    <t>iShares Core Global Aggregate Bond UCITS ETF USD Hedged Acc</t>
  </si>
  <si>
    <t>USD Hedged Accumulating</t>
  </si>
  <si>
    <t>Bloomberg Global Aggregate Bond Index</t>
  </si>
  <si>
    <t>https://www.ishares.com/uk/individual/en/products/291772/ishares-core-global-aggregate-bond-ucits-etf-fund</t>
  </si>
  <si>
    <t>Global investment-grade bonds hedged to USD; Treasuries 53.10%, largest issuer US Treasury 19.01%.</t>
  </si>
  <si>
    <t>Framework source</t>
  </si>
  <si>
    <t>etf-main-metrics.md — ETF Due Diligence Framework supplied by user</t>
  </si>
  <si>
    <t>Tax limitation</t>
  </si>
  <si>
    <t>Mechanisms only; confirm current rates, thresholds and filing treatment with an accountant.</t>
  </si>
  <si>
    <t>Execution limitation</t>
  </si>
  <si>
    <t>Bid-ask spread and NAV premium/discount are intraday fields; check immediately before trading.</t>
  </si>
  <si>
    <t>ETF DUE DILIGENCE — VWRA · ITPS · AGGU</t>
  </si>
  <si>
    <t>Relatório atualizado com dados oficiais dos emissores e framework etf-main-metrics.md | Agosto de 2026</t>
  </si>
  <si>
    <t>STORY IN BRIEF</t>
  </si>
  <si>
    <t>Os três fundos são UCITS irlandeses, de acumulação e emitidos por gestores de primeira linha. VWRA entrega o motor de crescimento global, mas mantém concentração material nos EUA e nas maiores empresas; ITPS adiciona proteção contra inflação americana, com risco relevante de duração e juros reais; AGGU amplia a diversificação em renda fixa investment grade e reduz a volatilidade cambial por meio do hedge para USD. A taxa ponderada da alocação-modelo é baixa, mas spread e prêmio/desconto sobre NAV devem ser verificados no momento da ordem. O ticker ITPS na LSE negocia em GBP; para negociação em USD na LSE, a linha oficial é IDTP.</t>
  </si>
  <si>
    <t>INDICADORES DA ALOCAÇÃO-MODELO</t>
  </si>
  <si>
    <t>TER ponderado</t>
  </si>
  <si>
    <t>Duração RF ponderada</t>
  </si>
  <si>
    <t>Menor AUM de classe</t>
  </si>
  <si>
    <t>3/3 UCITS Irlanda</t>
  </si>
  <si>
    <t>MATRIZ DE DUE DILIGENCE POR PRIORIDADE</t>
  </si>
  <si>
    <t>Tier</t>
  </si>
  <si>
    <t>Leitura pragmática</t>
  </si>
  <si>
    <t>Data-base</t>
  </si>
  <si>
    <t>Tier 1</t>
  </si>
  <si>
    <t>Domicílio / UCITS</t>
  </si>
  <si>
    <t>Estrutura alinhada ao escopo UCITS; tratamento fiscal individual exige validação profissional.</t>
  </si>
  <si>
    <t>Ago/2026</t>
  </si>
  <si>
    <t>Identificadores confirmados nas páginas oficiais.</t>
  </si>
  <si>
    <t>Benchmark / escopo</t>
  </si>
  <si>
    <t>FTSE All-World</t>
  </si>
  <si>
    <t>BBG US Govt Inflation-Linked</t>
  </si>
  <si>
    <t>BBG Global Aggregate</t>
  </si>
  <si>
    <t>Ações globais large/mid; TIPS dos EUA; bonds globais investment grade.</t>
  </si>
  <si>
    <t>Início da classe</t>
  </si>
  <si>
    <t>08/dez/2006</t>
  </si>
  <si>
    <t>Todos possuem histórico operacional relevante; VWRA é a classe mais recente.</t>
  </si>
  <si>
    <t>Réplica / renda</t>
  </si>
  <si>
    <t>Física amostrada / acum.</t>
  </si>
  <si>
    <t>Os três acumulam rendimentos no patrimônio da classe.</t>
  </si>
  <si>
    <t>Tier 2</t>
  </si>
  <si>
    <t>Custos declarados baixos; comparar também tracking e execução.</t>
  </si>
  <si>
    <t>AUM da classe</t>
  </si>
  <si>
    <t>Escala robusta nos três fundos; risco de fechamento parece baixo.</t>
  </si>
  <si>
    <t>Tracking</t>
  </si>
  <si>
    <t>N/D</t>
  </si>
  <si>
    <t>VWRA: tracking error de 1 ano; tracking difference não foi divulgado nos trechos consultados.</t>
  </si>
  <si>
    <t>Execução</t>
  </si>
  <si>
    <t>Checar ao vivo</t>
  </si>
  <si>
    <t>Spread e prêmio/desconto sobre NAV são intradiários; validar na IBKR antes da ordem.</t>
  </si>
  <si>
    <t>Na ordem</t>
  </si>
  <si>
    <t>Tier 3</t>
  </si>
  <si>
    <t>Número de posições</t>
  </si>
  <si>
    <t>VWRA diversifica ações; ITPS é concentrado em Treasuries; AGGU é muito granular.</t>
  </si>
  <si>
    <t>Concentração-chave</t>
  </si>
  <si>
    <t>99,93% US Treasury</t>
  </si>
  <si>
    <t>53,10% Treasuries</t>
  </si>
  <si>
    <t>Concentração deve ser interpretada por classe: empresas no equity e emissores nos bonds.</t>
  </si>
  <si>
    <t>EUA / valuation</t>
  </si>
  <si>
    <t>61,7% EUA | P/E 23,2x</t>
  </si>
  <si>
    <t>N/A — soberano EUA</t>
  </si>
  <si>
    <t>N/A — renda fixa global</t>
  </si>
  <si>
    <t>VWRA mantém peso elevado nos EUA e valuation agregado relevante.</t>
  </si>
  <si>
    <t>Tier 4</t>
  </si>
  <si>
    <t>NAV</t>
  </si>
  <si>
    <t>NAV não substitui preço de execução em bolsa.</t>
  </si>
  <si>
    <t>YTM / real yield</t>
  </si>
  <si>
    <t>N/A</t>
  </si>
  <si>
    <t>ITPS oferece yield real explícito; AGGU oferece yield nominal diversificado.</t>
  </si>
  <si>
    <t>Duração / maturidade</t>
  </si>
  <si>
    <t>6,55 / 7,39 anos</t>
  </si>
  <si>
    <t>6,08 / 8,05 anos</t>
  </si>
  <si>
    <t>Ambos os fundos de bonds têm duração próxima de seis anos.</t>
  </si>
  <si>
    <t>Tier 5</t>
  </si>
  <si>
    <t>Retorno YTD</t>
  </si>
  <si>
    <t>Somente sanity check; não usar retorno recente como critério principal.</t>
  </si>
  <si>
    <t>Volatilidade 3 anos</t>
  </si>
  <si>
    <t>Útil para dimensionar risco de renda fixa, não para prever retornos.</t>
  </si>
  <si>
    <t>Conclusão</t>
  </si>
  <si>
    <t>Papel no portfólio</t>
  </si>
  <si>
    <t>Crescimento global</t>
  </si>
  <si>
    <t>Inflação EUA</t>
  </si>
  <si>
    <t>Estabilizador global</t>
  </si>
  <si>
    <t>Combinação coerente 60/25/15; maior risco estrutural permanece no bloco acionário.</t>
  </si>
  <si>
    <t>Atual</t>
  </si>
  <si>
    <t>IMPACTO NA ALOCAÇÃO 60 / 25 / 15</t>
  </si>
  <si>
    <t>Papel</t>
  </si>
  <si>
    <t>Peso</t>
  </si>
  <si>
    <t>TER</t>
  </si>
  <si>
    <t>Contribuição à TER</t>
  </si>
  <si>
    <t>Observação</t>
  </si>
  <si>
    <t>Concentração EUA 61,7%; top 10 = 22,7%.</t>
  </si>
  <si>
    <t>Proteção inflação EUA</t>
  </si>
  <si>
    <t>Ticker ITPS na LSE é negociado em GBP; USD = IDTP.</t>
  </si>
  <si>
    <t>Renda fixa global hedged USD</t>
  </si>
  <si>
    <t>Diversificação investment grade; duração 6,08 anos.</t>
  </si>
  <si>
    <t>Total / média ponderada</t>
  </si>
  <si>
    <t>LIMITAÇÕES E PRÓXIMA AÇÃO</t>
  </si>
  <si>
    <t>Antes de executar, conferir spread bid-ask, prêmio/desconto sobre NAV e moeda da linha negociada. Tracking difference de 3–5 anos não estava disponível de forma explícita nas páginas consultadas; o relatório usa tracking error quando divulgado e marca os demais campos como N/D. Este material descreve mecanismos estruturais e não estabelece alíquotas, limites ou obrigações fiscais; confirme o tratamento aplicável com contador ou assessor tributário.</t>
  </si>
  <si>
    <t>Fontes detalhadas, URLs e datas: consulte a aba ETF Sources.</t>
  </si>
  <si>
    <t>Irlanda / Sim</t>
  </si>
  <si>
    <t>REVISÃO CRÍTICA DO RELATÓRIO ALTERNATIVO</t>
  </si>
  <si>
    <t>Conclusão: a análise alternativa é forte na tese econômica e no desenho 60/25/15, mas é excessivamente categórica em tributação e sucessão. O núcleo quantitativo confirmado é TER ponderado de 12,4 bps, custo anual estimado de USD 248, UCITS irlandês, acumulação e papéis complementares dos três ETFs. Antes de uso decisório, devem ser corrigidos o ticker de ITPS para ordens em USD, as afirmações sobre tributação de classes Acc, IOF, compensação de perdas, tracking difference e proteção contra IPCA.</t>
  </si>
  <si>
    <t>Tema</t>
  </si>
  <si>
    <t>Veredito</t>
  </si>
  <si>
    <t>Análise alternativa</t>
  </si>
  <si>
    <t>Evidência / correção</t>
  </si>
  <si>
    <t>Impacto</t>
  </si>
  <si>
    <t>Confiança</t>
  </si>
  <si>
    <t>Ação recomendada</t>
  </si>
  <si>
    <t>Alocação 60/25/15</t>
  </si>
  <si>
    <t>Confirmado</t>
  </si>
  <si>
    <t>Estrutura simples de três pilares.</t>
  </si>
  <si>
    <t>Coerente com o modelo da pasta: crescimento global, TIPS e bonds globais hedged.</t>
  </si>
  <si>
    <t>Mantém simplicidade e diversificação funcional.</t>
  </si>
  <si>
    <t>Alta</t>
  </si>
  <si>
    <t>Manter como alocação-alvo, sujeita ao perfil de risco.</t>
  </si>
  <si>
    <t>12,4 bps; USD 248/ano sobre USD 200 mil.</t>
  </si>
  <si>
    <t>0,60×0,14% + 0,25×0,10% + 0,15×0,10% = 0,124%.</t>
  </si>
  <si>
    <t>Custo explícito baixo.</t>
  </si>
  <si>
    <t>Usar como custo declarado, não como custo total.</t>
  </si>
  <si>
    <t>US Estate Tax</t>
  </si>
  <si>
    <t>Parcial</t>
  </si>
  <si>
    <t>Estrutura irlandesa seria blindagem integral e única.</t>
  </si>
  <si>
    <t>Ações de corporações americanas são US-situs; o IRS exige Form 706-NA acima de USD 60 mil. ETFs irlandeses reduzem essa exposição direta, mas “única” e “integral” são termos absolutos que exigem parecer sucessório.</t>
  </si>
  <si>
    <t>Relevante para não residentes/não cidadãos dos EUA.</t>
  </si>
  <si>
    <t>Média-alta</t>
  </si>
  <si>
    <t>Substituir por “mitiga exposição direta a ativos US-situs”; validar residência, domicílio e titularidade.</t>
  </si>
  <si>
    <t>WHT Irlanda–EUA</t>
  </si>
  <si>
    <t>Redução de 30% para 15% e ausência de bitributação individual.</t>
  </si>
  <si>
    <t>O tratado pode reduzir retenção sobre dividendos recebidos pelo fundo irlandês; isso é leakage no nível do fundo. Não equivale automaticamente a eliminar toda tributação do investidor brasileiro.</t>
  </si>
  <si>
    <t>Afeta retorno líquido de VWRA.</t>
  </si>
  <si>
    <t>Média</t>
  </si>
  <si>
    <t>Descrever mecanismo no nível do fundo e evitar promessa de economia individual fixa.</t>
  </si>
  <si>
    <t>Classes Acc / Lei 14.754</t>
  </si>
  <si>
    <t>Não comprovado</t>
  </si>
  <si>
    <t>IR somente na alienação e diferimento total.</t>
  </si>
  <si>
    <t>O wrapper Acc elimina distribuição de caixa, mas o tratamento brasileiro depende da classificação jurídica e das regras vigentes. A própria fonte fornecida exige consulta profissional.</t>
  </si>
  <si>
    <t>Pode alterar timing do imposto.</t>
  </si>
  <si>
    <t>Média-baixa</t>
  </si>
  <si>
    <t>Remover “garante diferimento total”; obter parecer tributário escrito.</t>
  </si>
  <si>
    <t>Isenção R$35 mil</t>
  </si>
  <si>
    <t>Provável, mas validar</t>
  </si>
  <si>
    <t>Extinta para vendas no exterior.</t>
  </si>
  <si>
    <t>A Lei 14.754/2023 instituiu regime anual de aplicações financeiras no exterior; aplicar a regra ao caso e ao ano-calendário exige validação atualizada.</t>
  </si>
  <si>
    <t>Afeta vendas e rebalanceamento.</t>
  </si>
  <si>
    <t>Manter como pergunta ao contador, não como premissa operacional autônoma.</t>
  </si>
  <si>
    <t>Compensação de perdas</t>
  </si>
  <si>
    <t>Prejuízos não expiram e podem ser carregados indefinidamente.</t>
  </si>
  <si>
    <t>A legislação permite compensações sob condições e controles específicos; “indefinidamente” não deve ser afirmado sem confirmar texto vigente e transições legislativas.</t>
  </si>
  <si>
    <t>Afeta planejamento de alienações.</t>
  </si>
  <si>
    <t>Documentar perdas por ativo/ano e confirmar prazo e escopo com contador.</t>
  </si>
  <si>
    <t>Ticker ITPS na LSE</t>
  </si>
  <si>
    <t>Incorreto para USD</t>
  </si>
  <si>
    <t>Executar ITPS na LSE em USD.</t>
  </si>
  <si>
    <t>A listagem oficial mostra ITPS na LSE em GBP; a linha LSE em USD é IDTP, mesmo ISIN IE00B1FZSC47.</t>
  </si>
  <si>
    <t>Evita conversão e ordem na linha errada.</t>
  </si>
  <si>
    <t>Para USD/LSE, usar IDTP; confirmar moeda e book antes da ordem.</t>
  </si>
  <si>
    <t>Tracking Difference VWRA</t>
  </si>
  <si>
    <t>Não sustentado</t>
  </si>
  <si>
    <t>TD histórico de 1–2 bps.</t>
  </si>
  <si>
    <t>A página oficial consultada divulga tracking error de 0,07% em 1 e 3 anos, não TD de 1–2 bps. Tracking error e tracking difference não são equivalentes.</t>
  </si>
  <si>
    <t>Evita falsa precisão sobre custo real.</t>
  </si>
  <si>
    <t>Trocar por tracking error oficial ou calcular TD com séries completas.</t>
  </si>
  <si>
    <t>Top 10 VWRA</t>
  </si>
  <si>
    <t>Ajuste menor</t>
  </si>
  <si>
    <t>Top 10 = 24%.</t>
  </si>
  <si>
    <t>Com os pesos oficiais de 30/jun/2026, a soma é aproximadamente 22,7%.</t>
  </si>
  <si>
    <t>Concentração continua material.</t>
  </si>
  <si>
    <t>Usar 22,7% com data-base explícita.</t>
  </si>
  <si>
    <t>ITPS real yield</t>
  </si>
  <si>
    <t>Real yield = 2,24%.</t>
  </si>
  <si>
    <t>Página oficial em 10/ago/2026: 2,26%; variação diária é normal.</t>
  </si>
  <si>
    <t>Melhora precisão temporal.</t>
  </si>
  <si>
    <t>Usar 2,26% e registrar data.</t>
  </si>
  <si>
    <t>IPCA</t>
  </si>
  <si>
    <t>Confirmado com nuance</t>
  </si>
  <si>
    <t>ETF em USD não protege diretamente o IPCA.</t>
  </si>
  <si>
    <t>Correto: ITPS protege contra inflação dos EUA, não contra inflação brasileira; câmbio pode compensar ou ampliar diferenças.</t>
  </si>
  <si>
    <t>Risco real em BRL permanece.</t>
  </si>
  <si>
    <t>Gerir objetivo IPCA com ativos locais adequados, se compatível com o plano.</t>
  </si>
  <si>
    <t>Drawdown 2022</t>
  </si>
  <si>
    <t>Carteira teria caído 15,6%.</t>
  </si>
  <si>
    <t>IOF 1,1% vs 3,5%</t>
  </si>
  <si>
    <t>Não confiável</t>
  </si>
  <si>
    <t>Classificação economizaria 2,4%.</t>
  </si>
  <si>
    <t>Regras de IOF-câmbio foram alteradas e disputadas em 2025; alíquotas e enquadramento devem ser confirmados no fechamento da operação.</t>
  </si>
  <si>
    <t>Pode mudar custo de remessa.</t>
  </si>
  <si>
    <t>Não codificar taxa fixa no modelo sem confirmação bancária e normativa atual.</t>
  </si>
  <si>
    <t>DCBE/CBE</t>
  </si>
  <si>
    <t>Confirmado em essência</t>
  </si>
  <si>
    <t>Obrigatório ao atingir USD 1 milhão.</t>
  </si>
  <si>
    <t>Banco Central mantém declaração anual para ativos externos a partir do equivalente a USD 1 milhão; há obrigação trimestral em patamar superior.</t>
  </si>
  <si>
    <t>Afeta compliance conforme patrimônio cresce.</t>
  </si>
  <si>
    <t>Monitorar valor em 31/dez e regras vigentes do Banco Central.</t>
  </si>
  <si>
    <t>Perfil pessoal</t>
  </si>
  <si>
    <t>Não documentado</t>
  </si>
  <si>
    <t>47 anos, economista aposentado e horizonte específico.</t>
  </si>
  <si>
    <t>Esses dados não constam da fonte etf-main-metrics.md nem da pasta analisada.</t>
  </si>
  <si>
    <t>Pode induzir suitability inadequada.</t>
  </si>
  <si>
    <t>Confirmar diretamente com Eduardo antes de usar no parecer.</t>
  </si>
  <si>
    <t>PARECER FINAL</t>
  </si>
  <si>
    <t>A análise alternativa agrega uma narrativa econômica útil, mas deve ser tratada como rascunho de tese, não como parecer fiscal definitivo. Recomendo incorporar ao relatório apenas: (1) simplicidade dos três ETFs, (2) custo ponderado de 12,4 bps, (3) risco de concentração do VWRA, (4) papel de juros reais do ITPS e (5) diversificação hedged do AGGU. As seções tributárias, sucessórias, IOF e compliance devem permanecer como mecanismos e perguntas de diligência até validação por profissional habilitado.</t>
  </si>
  <si>
    <t>Fontes oficiais usadas nesta revisão: IRS (estate tax de não residentes), Lei 14.754/2023 e IN RFB 2.180/2024, Banco Central CBE, tratado Irlanda–EUA e páginas oficiais Vanguard/iShares.</t>
  </si>
  <si>
    <t>Custo anual sobre USD 200 mil</t>
  </si>
  <si>
    <t>Confirmado no modelo</t>
  </si>
  <si>
    <t>Confirma que o núcleo não serve como reserva de viagem de curto prazo.</t>
  </si>
  <si>
    <t>Manter o cálculo como stress histórico do modelo, não como previsão.</t>
  </si>
  <si>
    <t>CENÁRIO: SEM OBJETIVO SUCESSÓRIO · PODER DE COMPRA EM USD · VIAGENS</t>
  </si>
  <si>
    <t>Neste cenário, a sucessão deixa de ser critério primário de seleção. O domicílio irlandês continua relevante para estrutura UCITS, mecânica de retenção no nível do fundo e classes de acumulação, mas não deve ser tratado como o motivo central do portfólio. O objetivo passa a exigir duas carteiras mentais: uma reserva líquida em USD para viagens próximas e um núcleo de longo prazo para preservar e ampliar poder de compra em dólar. Os três ETFs podem compor o núcleo, mas nenhum deles deve ser confundido com caixa: em 2022, a combinação 60/25/15 teria recuado aproximadamente 15,58%.</t>
  </si>
  <si>
    <t>Prioridade</t>
  </si>
  <si>
    <t>Horizonte</t>
  </si>
  <si>
    <t>Instrumento / sleeve</t>
  </si>
  <si>
    <t>ITPS / IDTP</t>
  </si>
  <si>
    <t>Decisão prática</t>
  </si>
  <si>
    <t>1. Liquidez para viagens</t>
  </si>
  <si>
    <t>0–24 meses</t>
  </si>
  <si>
    <t>Reserva separada em USD, de alta liquidez e baixa oscilação</t>
  </si>
  <si>
    <t>Não usar</t>
  </si>
  <si>
    <t>Não usar como caixa</t>
  </si>
  <si>
    <t>Separar despesas planejadas antes de investir o excedente no núcleo.</t>
  </si>
  <si>
    <t>2. Estabilidade em USD</t>
  </si>
  <si>
    <t>2–5 anos</t>
  </si>
  <si>
    <t>Renda fixa de menor volatilidade e duração compatível</t>
  </si>
  <si>
    <t>Baixa participação</t>
  </si>
  <si>
    <t>Protege US CPI, mas duração 6,55 anos</t>
  </si>
  <si>
    <t>Hedged USD, duração 6,08 anos</t>
  </si>
  <si>
    <t>ITPS e AGGU ainda podem cair quando juros sobem; não garantem principal no prazo.</t>
  </si>
  <si>
    <t>3. Crescimento real</t>
  </si>
  <si>
    <t>Mais de 5 anos</t>
  </si>
  <si>
    <t>Núcleo diversificado</t>
  </si>
  <si>
    <t>Motor de crescimento</t>
  </si>
  <si>
    <t>Âncora de juros reais</t>
  </si>
  <si>
    <t>Diversificador de bonds</t>
  </si>
  <si>
    <t>O peso de VWRA deve refletir tolerância a perdas temporárias.</t>
  </si>
  <si>
    <t>4. Sucessão</t>
  </si>
  <si>
    <t>Não prioritária</t>
  </si>
  <si>
    <t>Critério secundário</t>
  </si>
  <si>
    <t>Neutro</t>
  </si>
  <si>
    <t>Não pagar complexidade adicional exclusivamente por um objetivo sucessório inexistente.</t>
  </si>
  <si>
    <t>5. Execução</t>
  </si>
  <si>
    <t>Em cada ordem</t>
  </si>
  <si>
    <t>Moeda e book da LSE</t>
  </si>
  <si>
    <t>VWRA em USD</t>
  </si>
  <si>
    <t>IDTP em USD; ITPS em GBP</t>
  </si>
  <si>
    <t>AGGU em USD</t>
  </si>
  <si>
    <t>Confirmar ticker, moeda, spread e prêmio/desconto sobre NAV.</t>
  </si>
  <si>
    <t>DIAGNÓSTICO DO MODELO ATUAL</t>
  </si>
  <si>
    <t>Fórmula / base</t>
  </si>
  <si>
    <t>Resultado</t>
  </si>
  <si>
    <t>Interpretação</t>
  </si>
  <si>
    <t>Limitação</t>
  </si>
  <si>
    <t>Status</t>
  </si>
  <si>
    <t>Implicação</t>
  </si>
  <si>
    <t>Drawdown do modelo em 2022</t>
  </si>
  <si>
    <t>60% VWRA + 25% ITPS + 15% AGGU</t>
  </si>
  <si>
    <t>Queda material para capital destinado a viagens próximas.</t>
  </si>
  <si>
    <t>Um único ano histórico; não é pior caso garantido.</t>
  </si>
  <si>
    <t>Alto risco de prazo</t>
  </si>
  <si>
    <t>Criar reserva de viagens fora do núcleo.</t>
  </si>
  <si>
    <t>TER do núcleo</t>
  </si>
  <si>
    <t>Modelo 60/25/15</t>
  </si>
  <si>
    <t>Não inclui spread, câmbio ou tributação.</t>
  </si>
  <si>
    <t>Eficiente</t>
  </si>
  <si>
    <t>Manter foco em custo total de execução.</t>
  </si>
  <si>
    <t>Duração da renda fixa</t>
  </si>
  <si>
    <t>ITPS + AGGU ponderados</t>
  </si>
  <si>
    <t>Sensibilidade relevante a juros.</t>
  </si>
  <si>
    <t>Duração não representa prazo garantido de resgate.</t>
  </si>
  <si>
    <t>Intermediária</t>
  </si>
  <si>
    <t>Não usar como caixa para viagem próxima.</t>
  </si>
  <si>
    <t>RECOMENDAÇÃO CONDICIONAL</t>
  </si>
  <si>
    <t>Primeiro, separe em USD o valor das viagens previstas para os próximos 12–24 meses, acrescido de uma margem operacional; esse montante não deve depender de VWRA, ITPS/IDTP ou AGGU para estar disponível na data da viagem. Depois, aplique somente o capital excedente no núcleo 60/25/15 ou em uma versão mais conservadora, conforme tolerância ao drawdown. Sem o orçamento anual de viagens e a data do primeiro uso, não é tecnicamente correto recomendar uma nova alocação exata. Para ordens em USD na LSE, use IDTP — não ITPS — para a classe de TIPS identificada pelo ISIN IE00B1FZSC47.</t>
  </si>
  <si>
    <t>DADOS A CONFIRMAR PARA DEFINIR A ALOCAÇÃO: orçamento anual de viagens em USD; data da primeira retirada; reserva já existente em USD; perda temporária máxima aceitável.</t>
  </si>
  <si>
    <t>Estrutura UCITS irlandesa; no cenário sem sucessão, priorizar liquidez e poder de compra em USD.</t>
  </si>
  <si>
    <t>Correlação histórica estimada; diversificação não elimina perdas conjuntas em choques inflacionários.</t>
  </si>
  <si>
    <t>TIPS protegem contra US CPI no longo prazo, mas podem cair quando juros reais sobem.</t>
  </si>
  <si>
    <t>Bonds globais hedged em USD reduzem risco cambial, mas mantêm risco de juros e crédito.</t>
  </si>
  <si>
    <t>COMPARAÇÃO COM A NOTA “INVESTMENT COMMITTEE / FAMILY OFFICE”</t>
  </si>
  <si>
    <t>Parecer: a nota institucional melhora substancialmente o enquadramento — mandato, função econômica, orçamento de risco e governança — e deve ser incorporada como linguagem de comitê. Entretanto, sua principal correção factual está invertida: o OCF vigente do VWRA é 0,14%, não 0,19%. A página oficial atual informa redução de 19 para 14 bps; portanto, o TER ponderado de 0,124% e o custo anual de USD 248 do modelo permanecem corretos. A nota também usa uma fotografia diferente para AGGU e omite um sleeve de liquidez, indispensável para o objetivo declarado de viagens.</t>
  </si>
  <si>
    <t>Nota institucional</t>
  </si>
  <si>
    <t>Dado oficial / pasta</t>
  </si>
  <si>
    <t>Diferença</t>
  </si>
  <si>
    <t>Impacto no mandato</t>
  </si>
  <si>
    <t>Decisão</t>
  </si>
  <si>
    <t>Enquadramento de comitê</t>
  </si>
  <si>
    <t>Incorporar</t>
  </si>
  <si>
    <t>Prioriza mandato, função, risco e implementação.</t>
  </si>
  <si>
    <t>Mais robusto que uma comparação centrada em produto.</t>
  </si>
  <si>
    <t>Melhoria qualitativa</t>
  </si>
  <si>
    <t>Eleva governança e clareza de papéis.</t>
  </si>
  <si>
    <t>Adotar a estrutura narrativa.</t>
  </si>
  <si>
    <t>Funções econômicas</t>
  </si>
  <si>
    <t>VWRA = crescimento; AGGU = estabilidade; ITPS = inflação.</t>
  </si>
  <si>
    <t>Compatível com a matriz atual, com ressalva de que “estabilidade” não significa principal estável.</t>
  </si>
  <si>
    <t>Sem conflito material</t>
  </si>
  <si>
    <t>Útil para monitoramento por sleeve.</t>
  </si>
  <si>
    <t>Adotar “diversificador defensivo” para AGGU.</t>
  </si>
  <si>
    <t>OCF do VWRA</t>
  </si>
  <si>
    <t>Incorreto</t>
  </si>
  <si>
    <t>Afirma 0,19% e diz que 0,14% estaria errado.</t>
  </si>
  <si>
    <t>Vanguard atual: redução de 19 para 14 bps; fonte da pasta registra 0,14%.</t>
  </si>
  <si>
    <t>+5 bps no VWRA</t>
  </si>
  <si>
    <t>Superestima o custo do modelo em 3 bps.</t>
  </si>
  <si>
    <t>Manter 0,14%.</t>
  </si>
  <si>
    <t>TER do modelo 60/25/15</t>
  </si>
  <si>
    <t>Confirmado na pasta</t>
  </si>
  <si>
    <t>Com 0,19%, custo seria maior.</t>
  </si>
  <si>
    <t>Com OCF atual: 0,124% e USD 248/ano sobre USD 200 mil.</t>
  </si>
  <si>
    <t>USD 60/ano</t>
  </si>
  <si>
    <t>Não altera a arquitetura, mas afeta precisão.</t>
  </si>
  <si>
    <t>Manter os KPIs atuais.</t>
  </si>
  <si>
    <t>VWRA: estrutura e concentração</t>
  </si>
  <si>
    <t>3.782 ações, P/E 23,2x, EUA 61,7%, tracking error 0,07%.</t>
  </si>
  <si>
    <t>Coincide com dados oficiais de 30/jun/2026.</t>
  </si>
  <si>
    <t>Sem conflito</t>
  </si>
  <si>
    <t>Risco dominante continua sendo equity/valuation.</t>
  </si>
  <si>
    <t>Incorporar a leitura institucional.</t>
  </si>
  <si>
    <t>NAV do VWRA</t>
  </si>
  <si>
    <t>Data divergente</t>
  </si>
  <si>
    <t>USD 194,35 em referência próxima a 10/ago.</t>
  </si>
  <si>
    <t>Pasta possui USD 190,57 com data explícita de 03/ago para a classe Acc.</t>
  </si>
  <si>
    <t>Fotografias distintas</t>
  </si>
  <si>
    <t>NAV muda diariamente e não define mérito estratégico.</t>
  </si>
  <si>
    <t>Atualizar somente imediatamente antes da ordem.</t>
  </si>
  <si>
    <t>AGGU: métricas correntes</t>
  </si>
  <si>
    <t>Atualizar</t>
  </si>
  <si>
    <t>19.979; YTM 4,02%; duração 6,06; NAV 5,81; YTD 0,25%.</t>
  </si>
  <si>
    <t>Issuer em 07/ago: 19.980; YTM 3,97%; duração 6,08; NAV 5,83; YTD 0,51%.</t>
  </si>
  <si>
    <t>Pequenas diferenças de snapshot</t>
  </si>
  <si>
    <t>Não muda a função, mas exige consistência de data.</t>
  </si>
  <si>
    <t>Manter snapshot oficial de 07/ago.</t>
  </si>
  <si>
    <t>ITPS: métricas correntes</t>
  </si>
  <si>
    <t>48 posições; YTM 4,54%; real yield 2,26%; duração 6,55.</t>
  </si>
  <si>
    <t>Coincide com issuer em 10/ago/2026.</t>
  </si>
  <si>
    <t>Especialista em US CPI, não caixa.</t>
  </si>
  <si>
    <t>Manter.</t>
  </si>
  <si>
    <t>Ticker de execução do TIPS</t>
  </si>
  <si>
    <t>Omissão relevante</t>
  </si>
  <si>
    <t>Usa ITPS sob framework USD.</t>
  </si>
  <si>
    <t>ITPS é a linha LSE em GBP; IDTP é a linha LSE em USD, mesmo ISIN.</t>
  </si>
  <si>
    <t>Risco operacional</t>
  </si>
  <si>
    <t>Pode gerar execução na moeda errada.</t>
  </si>
  <si>
    <t>Usar IDTP para ordens em USD.</t>
  </si>
  <si>
    <t>Perfis estratégicos</t>
  </si>
  <si>
    <t>Úteis, não completos</t>
  </si>
  <si>
    <t>Oferece quatro alocações 100% em ETFs.</t>
  </si>
  <si>
    <t>Não inclui caixa/reserva de viagens.</t>
  </si>
  <si>
    <t>Falha de adequação ao objetivo</t>
  </si>
  <si>
    <t>Mesmo o perfil defensivo pode sofrer perda material.</t>
  </si>
  <si>
    <t>Adicionar sleeve líquido antes dos ETFs.</t>
  </si>
  <si>
    <t>Risk map</t>
  </si>
  <si>
    <t>Incorporar com nuance</t>
  </si>
  <si>
    <t>Classifica riscos por sleeve.</t>
  </si>
  <si>
    <t>Coerente, mas AGGU e ITPS mantêm drawdown e duração próximos de seis anos.</t>
  </si>
  <si>
    <t>Ajuste semântico</t>
  </si>
  <si>
    <t>Evita interpretar bonds como garantia de capital.</t>
  </si>
  <si>
    <t>Adotar com legendas e horizonte.</t>
  </si>
  <si>
    <t>Conclusão “sem desqualificador”</t>
  </si>
  <si>
    <t>Concordância parcial</t>
  </si>
  <si>
    <t>Aprova os três para próxima etapa.</t>
  </si>
  <si>
    <t>Nenhum problema estrutural; falta definir liquidez, horizonte e drawdown aceitável.</t>
  </si>
  <si>
    <t>Gate de suitability pendente</t>
  </si>
  <si>
    <t>Seleção dos ETFs está avançada; alocação ainda não.</t>
  </si>
  <si>
    <t>Aprovar veículos, não a alocação final.</t>
  </si>
  <si>
    <t>STRESS DOS QUATRO PERFIS PROPOSTOS — RETORNOS DE 2022 DA PASTA</t>
  </si>
  <si>
    <t>Perfil</t>
  </si>
  <si>
    <t>Retorno 2022</t>
  </si>
  <si>
    <t>Leitura para viagens</t>
  </si>
  <si>
    <t>Growth</t>
  </si>
  <si>
    <t>Balanced Growth</t>
  </si>
  <si>
    <t>Balanced / Defensive</t>
  </si>
  <si>
    <t>Defensive</t>
  </si>
  <si>
    <t>Inadequado para despesas próximas</t>
  </si>
  <si>
    <t>Ainda sujeito a perda de dois dígitos</t>
  </si>
  <si>
    <t>Núcleo longo prazo</t>
  </si>
  <si>
    <t>CONCLUSÃO DA COMPARAÇÃO</t>
  </si>
  <si>
    <t>A nota deve substituir o tom de “comparação de ETFs” por uma arquitetura de funções econômicas, mas não deve substituir os dados vigentes da pasta. OCF do VWRA: 0,14%. AGGU: manter o snapshot coerente de 07/ago/2026. ITPS: métricas confirmadas, com IDTP como ticker USD na LSE. Para este mandato específico, a próxima etapa não é escolher entre quatro carteiras integralmente investidas: é quantificar primeiro a reserva de viagens em USD e somente depois selecionar o perfil do capital excedente.</t>
  </si>
  <si>
    <t>GATE PARA PRÓXIMA ETAPA: informar orçamento anual de viagens em USD, data da primeira retirada, reserva líquida existente e drawdown máximo tolerável.</t>
  </si>
  <si>
    <t>VWRA fee validation</t>
  </si>
  <si>
    <t>Vanguard current page: OCF 0.14%; fee reduction announced from 19 bps to 14 bps, effective 7 Oct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</si>
</sst>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"/>
    <numFmt numFmtId="165" formatCode="0.0%"/>
    <numFmt numFmtId="166" formatCode="&quot;R$&quot;#,##0"/>
    <numFmt numFmtId="167" formatCode="0.0000"/>
    <numFmt numFmtId="168" formatCode="\$#,##0.00"/>
    <numFmt numFmtId="169" formatCode="&quot;R$&quot;#,##0.00"/>
    <numFmt numFmtId="170" formatCode="&quot;$&quot;#,##0,,&quot;M&quot;"/>
    <numFmt numFmtId="171" formatCode="&quot;$&quot;#,##0.00"/>
    <numFmt numFmtId="172" formatCode="0.0\x"/>
    <numFmt numFmtId="173" formatCode="0.000%"/>
    <numFmt numFmtId="174" formatCode="0.00&quot; anos&quot;"/>
    <numFmt numFmtId="175" formatCode="&quot;$&quot;0.00,,,&quot;B&quot;"/>
    <numFmt numFmtId="176" formatCode="&quot;$&quot;#,##0"/>
  </numFmts>
  <fonts count="25" x14ac:knownFonts="1">
    <font>
      <sz val="11"/>
      <color rgb="FF000000"/>
      <name val="Calibri"/>
      <family val="2"/>
      <charset val="1"/>
    </font>
    <font>
      <i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8000"/>
      <name val="Calibri"/>
      <family val="2"/>
    </font>
    <font>
      <i/>
      <sz val="11"/>
      <color rgb="FF595959"/>
      <name val="Calibri"/>
      <family val="2"/>
    </font>
    <font>
      <b/>
      <sz val="11"/>
      <color rgb="FFC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color rgb="FF1F497D"/>
      <name val="Calibri"/>
      <family val="2"/>
    </font>
    <font>
      <b/>
      <sz val="16"/>
      <color rgb="FF2F549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FF"/>
      <name val="Calibri"/>
      <family val="2"/>
      <charset val="1"/>
    </font>
    <font>
      <b/>
      <sz val="11"/>
      <color rgb="FF0000FF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2F5597"/>
        <bgColor rgb="FF2F5496"/>
      </patternFill>
    </fill>
    <fill>
      <patternFill patternType="solid">
        <fgColor rgb="FF4472C4"/>
        <bgColor rgb="FF366092"/>
      </patternFill>
    </fill>
    <fill>
      <patternFill patternType="solid">
        <fgColor rgb="FF5B9BD5"/>
        <bgColor rgb="FF4472C4"/>
      </patternFill>
    </fill>
    <fill>
      <patternFill patternType="solid">
        <fgColor rgb="FFE2EFDA"/>
        <bgColor rgb="FFDCE6F1"/>
      </patternFill>
    </fill>
    <fill>
      <patternFill patternType="solid">
        <fgColor rgb="FF1F497D"/>
        <bgColor rgb="FF1F4E78"/>
      </patternFill>
    </fill>
    <fill>
      <patternFill patternType="solid">
        <fgColor rgb="FF366092"/>
        <bgColor rgb="FF2F5597"/>
      </patternFill>
    </fill>
    <fill>
      <patternFill patternType="solid">
        <fgColor rgb="FFF2F5F8"/>
        <bgColor rgb="FFF2F2F2"/>
      </patternFill>
    </fill>
    <fill>
      <patternFill patternType="solid">
        <fgColor rgb="FFF2F2F2"/>
        <bgColor rgb="FFF2F5F8"/>
      </patternFill>
    </fill>
    <fill>
      <patternFill patternType="solid">
        <fgColor rgb="FFD9E1F2"/>
        <bgColor rgb="FFDCE6F1"/>
      </patternFill>
    </fill>
    <fill>
      <patternFill patternType="solid">
        <fgColor rgb="FFF8F9FA"/>
        <bgColor rgb="FFF2F5F8"/>
      </patternFill>
    </fill>
    <fill>
      <patternFill patternType="solid">
        <fgColor rgb="FFDCE6F1"/>
        <bgColor rgb="FFD9E1F2"/>
      </patternFill>
    </fill>
    <fill>
      <patternFill patternType="solid">
        <fgColor rgb="FF2F5496"/>
        <bgColor rgb="FF2F5597"/>
      </patternFill>
    </fill>
    <fill>
      <patternFill patternType="solid">
        <fgColor rgb="FFF2F2F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/>
      <right/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3" fillId="8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66" fontId="5" fillId="6" borderId="2" xfId="0" applyNumberFormat="1" applyFont="1" applyFill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166" fontId="6" fillId="6" borderId="2" xfId="0" applyNumberFormat="1" applyFont="1" applyFill="1" applyBorder="1" applyAlignment="1">
      <alignment horizontal="right" vertical="center"/>
    </xf>
    <xf numFmtId="166" fontId="4" fillId="6" borderId="2" xfId="0" applyNumberFormat="1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166" fontId="8" fillId="6" borderId="2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164" fontId="10" fillId="0" borderId="3" xfId="0" applyNumberFormat="1" applyFont="1" applyBorder="1"/>
    <xf numFmtId="10" fontId="9" fillId="0" borderId="3" xfId="0" applyNumberFormat="1" applyFont="1" applyBorder="1"/>
    <xf numFmtId="0" fontId="9" fillId="9" borderId="3" xfId="0" applyFont="1" applyFill="1" applyBorder="1" applyAlignment="1">
      <alignment horizontal="left"/>
    </xf>
    <xf numFmtId="164" fontId="10" fillId="9" borderId="3" xfId="0" applyNumberFormat="1" applyFont="1" applyFill="1" applyBorder="1"/>
    <xf numFmtId="10" fontId="9" fillId="9" borderId="3" xfId="0" applyNumberFormat="1" applyFont="1" applyFill="1" applyBorder="1"/>
    <xf numFmtId="166" fontId="10" fillId="0" borderId="3" xfId="0" applyNumberFormat="1" applyFont="1" applyBorder="1"/>
    <xf numFmtId="166" fontId="10" fillId="9" borderId="3" xfId="0" applyNumberFormat="1" applyFont="1" applyFill="1" applyBorder="1"/>
    <xf numFmtId="0" fontId="10" fillId="6" borderId="3" xfId="0" applyFont="1" applyFill="1" applyBorder="1" applyAlignment="1">
      <alignment horizontal="left"/>
    </xf>
    <xf numFmtId="10" fontId="10" fillId="6" borderId="3" xfId="0" applyNumberFormat="1" applyFont="1" applyFill="1" applyBorder="1"/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165" fontId="5" fillId="10" borderId="2" xfId="0" applyNumberFormat="1" applyFont="1" applyFill="1" applyBorder="1" applyAlignment="1">
      <alignment horizontal="right" vertical="center"/>
    </xf>
    <xf numFmtId="164" fontId="5" fillId="10" borderId="2" xfId="0" applyNumberFormat="1" applyFont="1" applyFill="1" applyBorder="1" applyAlignment="1">
      <alignment horizontal="right" vertical="center"/>
    </xf>
    <xf numFmtId="166" fontId="5" fillId="10" borderId="2" xfId="0" applyNumberFormat="1" applyFont="1" applyFill="1" applyBorder="1" applyAlignment="1">
      <alignment horizontal="right" vertical="center"/>
    </xf>
    <xf numFmtId="0" fontId="4" fillId="11" borderId="4" xfId="0" applyFont="1" applyFill="1" applyBorder="1" applyAlignment="1">
      <alignment horizontal="left" vertical="center" wrapText="1"/>
    </xf>
    <xf numFmtId="0" fontId="5" fillId="11" borderId="4" xfId="0" applyFont="1" applyFill="1" applyBorder="1"/>
    <xf numFmtId="165" fontId="4" fillId="11" borderId="4" xfId="0" applyNumberFormat="1" applyFont="1" applyFill="1" applyBorder="1" applyAlignment="1">
      <alignment horizontal="right" vertical="center"/>
    </xf>
    <xf numFmtId="164" fontId="4" fillId="11" borderId="4" xfId="0" applyNumberFormat="1" applyFont="1" applyFill="1" applyBorder="1" applyAlignment="1">
      <alignment horizontal="right" vertical="center"/>
    </xf>
    <xf numFmtId="166" fontId="4" fillId="11" borderId="4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2" fontId="5" fillId="10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2" borderId="5" xfId="0" applyFont="1" applyFill="1" applyBorder="1"/>
    <xf numFmtId="0" fontId="5" fillId="0" borderId="5" xfId="0" applyFont="1" applyBorder="1"/>
    <xf numFmtId="164" fontId="5" fillId="0" borderId="5" xfId="0" applyNumberFormat="1" applyFont="1" applyBorder="1"/>
    <xf numFmtId="166" fontId="5" fillId="0" borderId="5" xfId="0" applyNumberFormat="1" applyFont="1" applyBorder="1"/>
    <xf numFmtId="0" fontId="7" fillId="0" borderId="0" xfId="0" applyFont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167" fontId="10" fillId="0" borderId="3" xfId="0" applyNumberFormat="1" applyFont="1" applyBorder="1"/>
    <xf numFmtId="164" fontId="9" fillId="0" borderId="3" xfId="0" applyNumberFormat="1" applyFont="1" applyBorder="1"/>
    <xf numFmtId="167" fontId="10" fillId="9" borderId="3" xfId="0" applyNumberFormat="1" applyFont="1" applyFill="1" applyBorder="1"/>
    <xf numFmtId="164" fontId="9" fillId="9" borderId="3" xfId="0" applyNumberFormat="1" applyFont="1" applyFill="1" applyBorder="1"/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6" fontId="9" fillId="0" borderId="3" xfId="0" applyNumberFormat="1" applyFont="1" applyBorder="1"/>
    <xf numFmtId="166" fontId="10" fillId="6" borderId="3" xfId="0" applyNumberFormat="1" applyFont="1" applyFill="1" applyBorder="1"/>
    <xf numFmtId="166" fontId="10" fillId="13" borderId="3" xfId="0" applyNumberFormat="1" applyFont="1" applyFill="1" applyBorder="1"/>
    <xf numFmtId="164" fontId="10" fillId="6" borderId="3" xfId="0" applyNumberFormat="1" applyFont="1" applyFill="1" applyBorder="1"/>
    <xf numFmtId="164" fontId="10" fillId="13" borderId="3" xfId="0" applyNumberFormat="1" applyFont="1" applyFill="1" applyBorder="1"/>
    <xf numFmtId="10" fontId="10" fillId="13" borderId="3" xfId="0" applyNumberFormat="1" applyFont="1" applyFill="1" applyBorder="1"/>
    <xf numFmtId="0" fontId="13" fillId="0" borderId="0" xfId="0" applyFont="1"/>
    <xf numFmtId="0" fontId="3" fillId="14" borderId="0" xfId="0" applyFont="1" applyFill="1" applyAlignment="1">
      <alignment horizontal="center" vertical="center" wrapText="1"/>
    </xf>
    <xf numFmtId="0" fontId="14" fillId="0" borderId="6" xfId="0" applyFont="1" applyBorder="1" applyAlignment="1">
      <alignment horizontal="left"/>
    </xf>
    <xf numFmtId="168" fontId="14" fillId="0" borderId="6" xfId="0" applyNumberFormat="1" applyFont="1" applyBorder="1" applyAlignment="1">
      <alignment horizontal="right"/>
    </xf>
    <xf numFmtId="10" fontId="14" fillId="0" borderId="6" xfId="0" applyNumberFormat="1" applyFont="1" applyBorder="1" applyAlignment="1">
      <alignment horizontal="right"/>
    </xf>
    <xf numFmtId="0" fontId="14" fillId="10" borderId="6" xfId="0" applyFont="1" applyFill="1" applyBorder="1" applyAlignment="1">
      <alignment horizontal="left"/>
    </xf>
    <xf numFmtId="169" fontId="14" fillId="10" borderId="6" xfId="0" applyNumberFormat="1" applyFont="1" applyFill="1" applyBorder="1" applyAlignment="1">
      <alignment horizontal="right"/>
    </xf>
    <xf numFmtId="10" fontId="14" fillId="10" borderId="6" xfId="0" applyNumberFormat="1" applyFont="1" applyFill="1" applyBorder="1" applyAlignment="1">
      <alignment horizontal="right"/>
    </xf>
    <xf numFmtId="169" fontId="14" fillId="0" borderId="6" xfId="0" applyNumberFormat="1" applyFont="1" applyBorder="1" applyAlignment="1">
      <alignment horizontal="right"/>
    </xf>
    <xf numFmtId="0" fontId="13" fillId="0" borderId="6" xfId="0" applyFont="1" applyBorder="1" applyAlignment="1">
      <alignment horizontal="left"/>
    </xf>
    <xf numFmtId="169" fontId="13" fillId="0" borderId="6" xfId="0" applyNumberFormat="1" applyFont="1" applyBorder="1" applyAlignment="1">
      <alignment horizontal="right"/>
    </xf>
    <xf numFmtId="10" fontId="13" fillId="0" borderId="6" xfId="0" applyNumberFormat="1" applyFont="1" applyBorder="1" applyAlignment="1">
      <alignment horizontal="right"/>
    </xf>
    <xf numFmtId="0" fontId="13" fillId="10" borderId="6" xfId="0" applyFont="1" applyFill="1" applyBorder="1" applyAlignment="1">
      <alignment horizontal="left"/>
    </xf>
    <xf numFmtId="168" fontId="13" fillId="10" borderId="6" xfId="0" applyNumberFormat="1" applyFont="1" applyFill="1" applyBorder="1" applyAlignment="1">
      <alignment horizontal="right"/>
    </xf>
    <xf numFmtId="10" fontId="13" fillId="10" borderId="6" xfId="0" applyNumberFormat="1" applyFont="1" applyFill="1" applyBorder="1" applyAlignment="1">
      <alignment horizontal="right"/>
    </xf>
    <xf numFmtId="168" fontId="13" fillId="6" borderId="6" xfId="0" applyNumberFormat="1" applyFont="1" applyFill="1" applyBorder="1" applyAlignment="1">
      <alignment horizontal="right"/>
    </xf>
    <xf numFmtId="10" fontId="13" fillId="6" borderId="6" xfId="0" applyNumberFormat="1" applyFont="1" applyFill="1" applyBorder="1" applyAlignment="1">
      <alignment horizontal="right"/>
    </xf>
    <xf numFmtId="169" fontId="13" fillId="6" borderId="6" xfId="0" applyNumberFormat="1" applyFont="1" applyFill="1" applyBorder="1" applyAlignment="1">
      <alignment horizontal="right"/>
    </xf>
    <xf numFmtId="168" fontId="14" fillId="10" borderId="6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center" vertical="center" wrapText="1"/>
    </xf>
    <xf numFmtId="167" fontId="14" fillId="0" borderId="6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164" fontId="14" fillId="0" borderId="6" xfId="0" applyNumberFormat="1" applyFont="1" applyBorder="1" applyAlignment="1">
      <alignment horizontal="right"/>
    </xf>
    <xf numFmtId="168" fontId="13" fillId="0" borderId="6" xfId="0" applyNumberFormat="1" applyFont="1" applyBorder="1" applyAlignment="1">
      <alignment horizontal="right"/>
    </xf>
    <xf numFmtId="167" fontId="14" fillId="10" borderId="6" xfId="0" applyNumberFormat="1" applyFont="1" applyFill="1" applyBorder="1" applyAlignment="1">
      <alignment horizontal="right"/>
    </xf>
    <xf numFmtId="165" fontId="14" fillId="10" borderId="6" xfId="0" applyNumberFormat="1" applyFont="1" applyFill="1" applyBorder="1" applyAlignment="1">
      <alignment horizontal="right"/>
    </xf>
    <xf numFmtId="169" fontId="13" fillId="10" borderId="6" xfId="0" applyNumberFormat="1" applyFont="1" applyFill="1" applyBorder="1" applyAlignment="1">
      <alignment horizontal="right"/>
    </xf>
    <xf numFmtId="165" fontId="14" fillId="0" borderId="6" xfId="0" applyNumberFormat="1" applyFont="1" applyBorder="1" applyAlignment="1">
      <alignment horizontal="right"/>
    </xf>
    <xf numFmtId="0" fontId="14" fillId="0" borderId="6" xfId="0" applyFont="1" applyBorder="1"/>
    <xf numFmtId="168" fontId="13" fillId="0" borderId="6" xfId="0" applyNumberFormat="1" applyFont="1" applyBorder="1"/>
    <xf numFmtId="169" fontId="13" fillId="0" borderId="6" xfId="0" applyNumberFormat="1" applyFont="1" applyBorder="1"/>
    <xf numFmtId="168" fontId="14" fillId="0" borderId="6" xfId="0" applyNumberFormat="1" applyFont="1" applyBorder="1"/>
    <xf numFmtId="169" fontId="14" fillId="0" borderId="6" xfId="0" applyNumberFormat="1" applyFont="1" applyBorder="1"/>
    <xf numFmtId="0" fontId="13" fillId="0" borderId="6" xfId="0" applyFont="1" applyBorder="1"/>
    <xf numFmtId="169" fontId="13" fillId="0" borderId="0" xfId="0" applyNumberFormat="1" applyFont="1"/>
    <xf numFmtId="0" fontId="5" fillId="0" borderId="6" xfId="0" applyFont="1" applyBorder="1"/>
    <xf numFmtId="168" fontId="13" fillId="0" borderId="0" xfId="0" applyNumberFormat="1" applyFont="1"/>
    <xf numFmtId="169" fontId="13" fillId="6" borderId="0" xfId="0" applyNumberFormat="1" applyFont="1" applyFill="1"/>
    <xf numFmtId="168" fontId="13" fillId="6" borderId="0" xfId="0" applyNumberFormat="1" applyFont="1" applyFill="1"/>
    <xf numFmtId="10" fontId="13" fillId="0" borderId="6" xfId="0" applyNumberFormat="1" applyFont="1" applyBorder="1"/>
    <xf numFmtId="0" fontId="10" fillId="6" borderId="0" xfId="0" applyFont="1" applyFill="1" applyBorder="1" applyAlignment="1">
      <alignment horizontal="left"/>
    </xf>
    <xf numFmtId="165" fontId="18" fillId="0" borderId="0" xfId="0" applyNumberFormat="1" applyFont="1"/>
    <xf numFmtId="167" fontId="18" fillId="0" borderId="0" xfId="0" applyNumberFormat="1" applyFont="1"/>
    <xf numFmtId="10" fontId="18" fillId="0" borderId="0" xfId="0" applyNumberFormat="1" applyFont="1"/>
    <xf numFmtId="10" fontId="0" fillId="0" borderId="0" xfId="0" applyNumberFormat="1"/>
    <xf numFmtId="168" fontId="19" fillId="0" borderId="6" xfId="0" applyNumberFormat="1" applyFont="1" applyBorder="1"/>
    <xf numFmtId="0" fontId="20" fillId="2" borderId="0" xfId="0" applyFont="1" applyFill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165" fontId="5" fillId="15" borderId="2" xfId="0" applyNumberFormat="1" applyFont="1" applyFill="1" applyBorder="1" applyAlignment="1">
      <alignment horizontal="right" vertical="center"/>
    </xf>
    <xf numFmtId="164" fontId="5" fillId="15" borderId="2" xfId="0" applyNumberFormat="1" applyFont="1" applyFill="1" applyBorder="1" applyAlignment="1">
      <alignment horizontal="right" vertical="center"/>
    </xf>
    <xf numFmtId="166" fontId="5" fillId="15" borderId="2" xfId="0" applyNumberFormat="1" applyFont="1" applyFill="1" applyBorder="1" applyAlignment="1">
      <alignment horizontal="right" vertical="center"/>
    </xf>
    <xf numFmtId="14" fontId="0" fillId="0" borderId="0" xfId="0" applyNumberFormat="1"/>
    <xf numFmtId="0" fontId="21" fillId="0" borderId="0" xfId="0" applyFont="1" applyAlignment="1">
      <alignment horizontal="right"/>
    </xf>
    <xf numFmtId="169" fontId="9" fillId="0" borderId="3" xfId="0" applyNumberFormat="1" applyFont="1" applyBorder="1"/>
    <xf numFmtId="0" fontId="0" fillId="0" borderId="0" xfId="0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3" xfId="0" applyFont="1" applyBorder="1" applyAlignment="1">
      <alignment horizontal="left" wrapText="1"/>
    </xf>
    <xf numFmtId="0" fontId="10" fillId="6" borderId="3" xfId="0" applyFont="1" applyFill="1" applyBorder="1" applyAlignment="1">
      <alignment horizontal="left" wrapText="1"/>
    </xf>
    <xf numFmtId="0" fontId="10" fillId="13" borderId="3" xfId="0" applyFont="1" applyFill="1" applyBorder="1" applyAlignment="1">
      <alignment horizontal="left" wrapText="1"/>
    </xf>
    <xf numFmtId="0" fontId="12" fillId="0" borderId="0" xfId="0" applyFont="1" applyAlignment="1">
      <alignment wrapText="1"/>
    </xf>
    <xf numFmtId="0" fontId="15" fillId="0" borderId="6" xfId="0" applyFont="1" applyBorder="1" applyAlignment="1">
      <alignment horizontal="left" wrapText="1"/>
    </xf>
    <xf numFmtId="0" fontId="15" fillId="10" borderId="6" xfId="0" applyFont="1" applyFill="1" applyBorder="1" applyAlignment="1">
      <alignment horizontal="left" wrapText="1"/>
    </xf>
    <xf numFmtId="0" fontId="14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0" xfId="0" applyFont="1" applyAlignment="1">
      <alignment wrapText="1"/>
    </xf>
    <xf numFmtId="0" fontId="22" fillId="16" borderId="0" xfId="0" applyFont="1" applyFill="1" applyAlignment="1">
      <alignment horizontal="center"/>
    </xf>
    <xf numFmtId="170" fontId="0" fillId="0" borderId="0" xfId="0" applyNumberFormat="1"/>
    <xf numFmtId="3" fontId="0" fillId="0" borderId="0" xfId="0" applyNumberFormat="1"/>
    <xf numFmtId="171" fontId="0" fillId="0" borderId="0" xfId="0" applyNumberFormat="1"/>
    <xf numFmtId="172" fontId="0" fillId="0" borderId="0" xfId="0" applyNumberFormat="1"/>
    <xf numFmtId="165" fontId="0" fillId="0" borderId="0" xfId="0" applyNumberFormat="1"/>
    <xf numFmtId="0" fontId="22" fillId="17" borderId="0" xfId="0" applyFont="1" applyFill="1"/>
    <xf numFmtId="0" fontId="0" fillId="18" borderId="0" xfId="0" applyFill="1" applyAlignment="1">
      <alignment wrapText="1"/>
    </xf>
    <xf numFmtId="0" fontId="0" fillId="18" borderId="0" xfId="0" applyFill="1" applyAlignment="1">
      <alignment vertical="top" wrapText="1"/>
    </xf>
    <xf numFmtId="10" fontId="0" fillId="0" borderId="0" xfId="0" applyNumberFormat="1" applyAlignment="1">
      <alignment wrapText="1"/>
    </xf>
    <xf numFmtId="175" fontId="0" fillId="0" borderId="0" xfId="0" applyNumberFormat="1" applyAlignment="1">
      <alignment wrapText="1"/>
    </xf>
    <xf numFmtId="0" fontId="0" fillId="19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0" fontId="0" fillId="0" borderId="0" xfId="0" applyNumberFormat="1" applyAlignment="1">
      <alignment horizontal="center" wrapText="1"/>
    </xf>
    <xf numFmtId="175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71" fontId="0" fillId="0" borderId="0" xfId="0" applyNumberFormat="1" applyAlignment="1">
      <alignment horizontal="center" wrapText="1"/>
    </xf>
    <xf numFmtId="17" fontId="0" fillId="0" borderId="0" xfId="0" applyNumberFormat="1" applyAlignment="1">
      <alignment horizontal="center" wrapText="1"/>
    </xf>
    <xf numFmtId="0" fontId="22" fillId="16" borderId="0" xfId="0" applyFont="1" applyFill="1" applyAlignment="1">
      <alignment horizontal="center" wrapText="1"/>
    </xf>
    <xf numFmtId="2" fontId="0" fillId="0" borderId="0" xfId="0" applyNumberFormat="1"/>
    <xf numFmtId="0" fontId="21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3" fillId="16" borderId="0" xfId="0" applyFont="1" applyFill="1" applyAlignment="1">
      <alignment wrapText="1"/>
    </xf>
    <xf numFmtId="0" fontId="22" fillId="17" borderId="0" xfId="0" applyFont="1" applyFill="1" applyAlignment="1">
      <alignment wrapText="1"/>
    </xf>
    <xf numFmtId="0" fontId="21" fillId="15" borderId="0" xfId="0" applyFont="1" applyFill="1" applyAlignment="1">
      <alignment wrapText="1"/>
    </xf>
    <xf numFmtId="173" fontId="21" fillId="15" borderId="0" xfId="0" applyNumberFormat="1" applyFont="1" applyFill="1" applyAlignment="1">
      <alignment wrapText="1"/>
    </xf>
    <xf numFmtId="174" fontId="21" fillId="15" borderId="0" xfId="0" applyNumberFormat="1" applyFont="1" applyFill="1" applyAlignment="1">
      <alignment wrapText="1"/>
    </xf>
    <xf numFmtId="175" fontId="21" fillId="15" borderId="0" xfId="0" applyNumberFormat="1" applyFont="1" applyFill="1" applyAlignment="1">
      <alignment wrapText="1"/>
    </xf>
    <xf numFmtId="176" fontId="21" fillId="15" borderId="0" xfId="0" applyNumberFormat="1" applyFont="1" applyFill="1" applyAlignment="1">
      <alignment wrapText="1"/>
    </xf>
    <xf numFmtId="0" fontId="21" fillId="20" borderId="0" xfId="0" applyFont="1" applyFill="1" applyAlignment="1">
      <alignment wrapText="1"/>
    </xf>
    <xf numFmtId="10" fontId="21" fillId="20" borderId="0" xfId="0" applyNumberFormat="1" applyFont="1" applyFill="1" applyAlignment="1">
      <alignment wrapText="1"/>
    </xf>
    <xf numFmtId="173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0" fontId="21" fillId="15" borderId="0" xfId="0" applyFont="1" applyFill="1" applyAlignment="1">
      <alignment wrapText="1"/>
    </xf>
    <xf numFmtId="10" fontId="21" fillId="0" borderId="0" xfId="0" applyNumberFormat="1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66092"/>
      <rgbColor rgb="FFBFBFBF"/>
      <rgbColor rgb="FF808080"/>
      <rgbColor rgb="FF5B9BD5"/>
      <rgbColor rgb="FF993366"/>
      <rgbColor rgb="FFF8F9FA"/>
      <rgbColor rgb="FFDCE6F1"/>
      <rgbColor rgb="FF660066"/>
      <rgbColor rgb="FFFF8080"/>
      <rgbColor rgb="FF2F5597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E2EFDA"/>
      <rgbColor rgb="FFF2F2F2"/>
      <rgbColor rgb="FFD9E1F2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2F54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DE62BCB-D891-7A4D-850D-F58254C6584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ea0576cf-7f35-4924-9ae5-62d37e0ebf8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A140381-22B8-674E-810A-972BFDBC99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36a706-97ce-466b-8332-e2277a212e73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17F6DCB-8A75-8A45-A1EC-8A68699F6536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E8ED-DD50-5B48-86A0-42EEFC1BAD68}">
  <dimension ref="A1:G143"/>
  <sheetViews>
    <sheetView tabSelected="1" topLeftCell="A32" workbookViewId="0">
      <selection activeCell="A52" sqref="A52:G52"/>
    </sheetView>
  </sheetViews>
  <sheetFormatPr baseColWidth="10" defaultRowHeight="15" x14ac:dyDescent="0.2"/>
  <cols>
    <col min="1" max="1" width="10.83203125" customWidth="1"/>
    <col min="2" max="2" width="15.83203125" customWidth="1"/>
    <col min="3" max="3" width="22.5" customWidth="1"/>
    <col min="4" max="4" width="25.83203125" customWidth="1"/>
    <col min="5" max="5" width="21.6640625" customWidth="1"/>
    <col min="6" max="6" width="16.6640625" customWidth="1"/>
    <col min="7" max="7" width="25" customWidth="1"/>
  </cols>
  <sheetData>
    <row r="1" spans="1:7" ht="24" x14ac:dyDescent="0.3">
      <c r="A1" s="165" t="s">
        <v>309</v>
      </c>
      <c r="B1" s="165"/>
      <c r="C1" s="165"/>
      <c r="D1" s="165"/>
      <c r="E1" s="165"/>
      <c r="F1" s="165"/>
      <c r="G1" s="165"/>
    </row>
    <row r="2" spans="1:7" x14ac:dyDescent="0.2">
      <c r="A2" s="164" t="s">
        <v>310</v>
      </c>
      <c r="B2" s="164"/>
      <c r="C2" s="164"/>
      <c r="D2" s="164"/>
      <c r="E2" s="164"/>
      <c r="F2" s="164"/>
      <c r="G2" s="164"/>
    </row>
    <row r="3" spans="1:7" x14ac:dyDescent="0.2">
      <c r="A3" s="125"/>
      <c r="B3" s="125"/>
      <c r="C3" s="125"/>
      <c r="D3" s="125"/>
      <c r="E3" s="125"/>
      <c r="F3" s="125"/>
      <c r="G3" s="125"/>
    </row>
    <row r="4" spans="1:7" x14ac:dyDescent="0.2">
      <c r="A4" s="166" t="s">
        <v>311</v>
      </c>
      <c r="B4" s="166"/>
      <c r="C4" s="166"/>
      <c r="D4" s="166"/>
      <c r="E4" s="166"/>
      <c r="F4" s="166"/>
      <c r="G4" s="166"/>
    </row>
    <row r="5" spans="1:7" x14ac:dyDescent="0.2">
      <c r="A5" s="148" t="s">
        <v>312</v>
      </c>
      <c r="B5" s="148"/>
      <c r="C5" s="148"/>
      <c r="D5" s="148"/>
      <c r="E5" s="148"/>
      <c r="F5" s="148"/>
      <c r="G5" s="148"/>
    </row>
    <row r="6" spans="1:7" x14ac:dyDescent="0.2">
      <c r="A6" s="148"/>
      <c r="B6" s="148"/>
      <c r="C6" s="148"/>
      <c r="D6" s="148"/>
      <c r="E6" s="148"/>
      <c r="F6" s="148"/>
      <c r="G6" s="148"/>
    </row>
    <row r="7" spans="1:7" x14ac:dyDescent="0.2">
      <c r="A7" s="148"/>
      <c r="B7" s="148"/>
      <c r="C7" s="148"/>
      <c r="D7" s="148"/>
      <c r="E7" s="148"/>
      <c r="F7" s="148"/>
      <c r="G7" s="148"/>
    </row>
    <row r="8" spans="1:7" x14ac:dyDescent="0.2">
      <c r="A8" s="148"/>
      <c r="B8" s="148"/>
      <c r="C8" s="148"/>
      <c r="D8" s="148"/>
      <c r="E8" s="148"/>
      <c r="F8" s="148"/>
      <c r="G8" s="148"/>
    </row>
    <row r="9" spans="1:7" x14ac:dyDescent="0.2">
      <c r="A9" s="125"/>
      <c r="B9" s="125"/>
      <c r="C9" s="125"/>
      <c r="D9" s="125"/>
      <c r="E9" s="125"/>
      <c r="F9" s="125"/>
      <c r="G9" s="125"/>
    </row>
    <row r="10" spans="1:7" x14ac:dyDescent="0.2">
      <c r="A10" s="166" t="s">
        <v>313</v>
      </c>
      <c r="B10" s="166"/>
      <c r="C10" s="166"/>
      <c r="D10" s="166"/>
      <c r="E10" s="166"/>
      <c r="F10" s="166"/>
      <c r="G10" s="166"/>
    </row>
    <row r="11" spans="1:7" ht="32" x14ac:dyDescent="0.2">
      <c r="A11" s="167" t="s">
        <v>314</v>
      </c>
      <c r="B11" s="168">
        <f>SUMPRODUCT(C39:C41,D39:D41)</f>
        <v>1.2399999999999998E-3</v>
      </c>
      <c r="C11" s="167" t="s">
        <v>315</v>
      </c>
      <c r="D11" s="169">
        <f>SUMPRODUCT(C40:C41,'ETF Sources'!V3:V4)/SUM(C40:C41)</f>
        <v>6.3737500000000002</v>
      </c>
      <c r="E11" s="167" t="s">
        <v>316</v>
      </c>
      <c r="F11" s="170">
        <f>MIN(F39:F41)</f>
        <v>3534875907</v>
      </c>
      <c r="G11" s="167" t="s">
        <v>317</v>
      </c>
    </row>
    <row r="12" spans="1:7" ht="48" x14ac:dyDescent="0.2">
      <c r="A12" s="167" t="s">
        <v>502</v>
      </c>
      <c r="B12" s="171">
        <f>B11*200000</f>
        <v>247.99999999999994</v>
      </c>
      <c r="C12" s="125"/>
      <c r="D12" s="125"/>
      <c r="E12" s="125"/>
      <c r="F12" s="125"/>
      <c r="G12" s="125"/>
    </row>
    <row r="13" spans="1:7" x14ac:dyDescent="0.2">
      <c r="A13" s="166" t="s">
        <v>318</v>
      </c>
      <c r="B13" s="166"/>
      <c r="C13" s="166"/>
      <c r="D13" s="166"/>
      <c r="E13" s="166"/>
      <c r="F13" s="166"/>
      <c r="G13" s="166"/>
    </row>
    <row r="14" spans="1:7" ht="16" x14ac:dyDescent="0.2">
      <c r="A14" s="161" t="s">
        <v>319</v>
      </c>
      <c r="B14" s="161" t="s">
        <v>135</v>
      </c>
      <c r="C14" s="161" t="s">
        <v>38</v>
      </c>
      <c r="D14" s="161" t="s">
        <v>42</v>
      </c>
      <c r="E14" s="161" t="s">
        <v>44</v>
      </c>
      <c r="F14" s="161" t="s">
        <v>320</v>
      </c>
      <c r="G14" s="161" t="s">
        <v>321</v>
      </c>
    </row>
    <row r="15" spans="1:7" ht="96" x14ac:dyDescent="0.2">
      <c r="A15" s="125" t="s">
        <v>322</v>
      </c>
      <c r="B15" s="125" t="s">
        <v>323</v>
      </c>
      <c r="C15" s="153" t="s">
        <v>398</v>
      </c>
      <c r="D15" s="153" t="s">
        <v>398</v>
      </c>
      <c r="E15" s="153" t="s">
        <v>398</v>
      </c>
      <c r="F15" s="151" t="s">
        <v>324</v>
      </c>
      <c r="G15" s="153" t="s">
        <v>325</v>
      </c>
    </row>
    <row r="16" spans="1:7" ht="48" x14ac:dyDescent="0.2">
      <c r="A16" s="125" t="s">
        <v>322</v>
      </c>
      <c r="B16" s="125" t="s">
        <v>32</v>
      </c>
      <c r="C16" s="153" t="s">
        <v>244</v>
      </c>
      <c r="D16" s="153" t="s">
        <v>246</v>
      </c>
      <c r="E16" s="153" t="s">
        <v>45</v>
      </c>
      <c r="F16" s="151" t="s">
        <v>326</v>
      </c>
      <c r="G16" s="153" t="s">
        <v>325</v>
      </c>
    </row>
    <row r="17" spans="1:7" ht="64" x14ac:dyDescent="0.2">
      <c r="A17" s="125" t="s">
        <v>322</v>
      </c>
      <c r="B17" s="125" t="s">
        <v>327</v>
      </c>
      <c r="C17" s="153" t="s">
        <v>328</v>
      </c>
      <c r="D17" s="153" t="s">
        <v>329</v>
      </c>
      <c r="E17" s="153" t="s">
        <v>330</v>
      </c>
      <c r="F17" s="151" t="s">
        <v>331</v>
      </c>
      <c r="G17" s="153" t="s">
        <v>325</v>
      </c>
    </row>
    <row r="18" spans="1:7" ht="80" x14ac:dyDescent="0.2">
      <c r="A18" s="125" t="s">
        <v>322</v>
      </c>
      <c r="B18" s="125" t="s">
        <v>332</v>
      </c>
      <c r="C18" s="154">
        <v>43669</v>
      </c>
      <c r="D18" s="153" t="s">
        <v>333</v>
      </c>
      <c r="E18" s="154">
        <v>43060</v>
      </c>
      <c r="F18" s="151" t="s">
        <v>334</v>
      </c>
      <c r="G18" s="153" t="s">
        <v>325</v>
      </c>
    </row>
    <row r="19" spans="1:7" ht="64" x14ac:dyDescent="0.2">
      <c r="A19" s="125" t="s">
        <v>322</v>
      </c>
      <c r="B19" s="125" t="s">
        <v>335</v>
      </c>
      <c r="C19" s="153" t="s">
        <v>336</v>
      </c>
      <c r="D19" s="153" t="s">
        <v>336</v>
      </c>
      <c r="E19" s="153" t="s">
        <v>336</v>
      </c>
      <c r="F19" s="151" t="s">
        <v>337</v>
      </c>
      <c r="G19" s="153" t="s">
        <v>325</v>
      </c>
    </row>
    <row r="20" spans="1:7" ht="64" x14ac:dyDescent="0.2">
      <c r="A20" s="125" t="s">
        <v>338</v>
      </c>
      <c r="B20" s="125" t="s">
        <v>260</v>
      </c>
      <c r="C20" s="155">
        <f>'ETF Sources'!N2</f>
        <v>1.4E-3</v>
      </c>
      <c r="D20" s="155">
        <f>'ETF Sources'!N3</f>
        <v>1E-3</v>
      </c>
      <c r="E20" s="155">
        <f>'ETF Sources'!N4</f>
        <v>1E-3</v>
      </c>
      <c r="F20" s="151" t="s">
        <v>339</v>
      </c>
      <c r="G20" s="153" t="s">
        <v>325</v>
      </c>
    </row>
    <row r="21" spans="1:7" ht="64" x14ac:dyDescent="0.2">
      <c r="A21" s="125" t="s">
        <v>338</v>
      </c>
      <c r="B21" s="125" t="s">
        <v>340</v>
      </c>
      <c r="C21" s="156">
        <f>'ETF Sources'!O2</f>
        <v>53360000000</v>
      </c>
      <c r="D21" s="156">
        <f>'ETF Sources'!O3</f>
        <v>3534875907</v>
      </c>
      <c r="E21" s="156">
        <f>'ETF Sources'!O4</f>
        <v>4110903665</v>
      </c>
      <c r="F21" s="151" t="s">
        <v>341</v>
      </c>
      <c r="G21" s="153" t="s">
        <v>325</v>
      </c>
    </row>
    <row r="22" spans="1:7" ht="96" x14ac:dyDescent="0.2">
      <c r="A22" s="125" t="s">
        <v>338</v>
      </c>
      <c r="B22" s="125" t="s">
        <v>342</v>
      </c>
      <c r="C22" s="155">
        <f>'ETF Sources'!Y2</f>
        <v>6.9999999999999999E-4</v>
      </c>
      <c r="D22" s="153" t="s">
        <v>343</v>
      </c>
      <c r="E22" s="153" t="s">
        <v>343</v>
      </c>
      <c r="F22" s="151" t="s">
        <v>344</v>
      </c>
      <c r="G22" s="160">
        <v>46174</v>
      </c>
    </row>
    <row r="23" spans="1:7" ht="96" x14ac:dyDescent="0.2">
      <c r="A23" s="125" t="s">
        <v>338</v>
      </c>
      <c r="B23" s="125" t="s">
        <v>345</v>
      </c>
      <c r="C23" s="153" t="s">
        <v>346</v>
      </c>
      <c r="D23" s="153" t="s">
        <v>346</v>
      </c>
      <c r="E23" s="153" t="s">
        <v>346</v>
      </c>
      <c r="F23" s="151" t="s">
        <v>347</v>
      </c>
      <c r="G23" s="153" t="s">
        <v>348</v>
      </c>
    </row>
    <row r="24" spans="1:7" ht="80" x14ac:dyDescent="0.2">
      <c r="A24" s="125" t="s">
        <v>349</v>
      </c>
      <c r="B24" s="125" t="s">
        <v>350</v>
      </c>
      <c r="C24" s="157">
        <f>'ETF Sources'!Q2</f>
        <v>3782</v>
      </c>
      <c r="D24" s="157">
        <f>'ETF Sources'!Q3</f>
        <v>48</v>
      </c>
      <c r="E24" s="157">
        <f>'ETF Sources'!Q4</f>
        <v>19980</v>
      </c>
      <c r="F24" s="151" t="s">
        <v>351</v>
      </c>
      <c r="G24" s="153" t="s">
        <v>325</v>
      </c>
    </row>
    <row r="25" spans="1:7" ht="80" x14ac:dyDescent="0.2">
      <c r="A25" s="125" t="s">
        <v>349</v>
      </c>
      <c r="B25" s="125" t="s">
        <v>352</v>
      </c>
      <c r="C25" s="158">
        <f>'ETF Sources'!AC2</f>
        <v>0.2269921</v>
      </c>
      <c r="D25" s="153" t="s">
        <v>353</v>
      </c>
      <c r="E25" s="153" t="s">
        <v>354</v>
      </c>
      <c r="F25" s="151" t="s">
        <v>355</v>
      </c>
      <c r="G25" s="153" t="s">
        <v>325</v>
      </c>
    </row>
    <row r="26" spans="1:7" ht="64" x14ac:dyDescent="0.2">
      <c r="A26" s="125" t="s">
        <v>349</v>
      </c>
      <c r="B26" s="125" t="s">
        <v>356</v>
      </c>
      <c r="C26" s="153" t="s">
        <v>357</v>
      </c>
      <c r="D26" s="153" t="s">
        <v>358</v>
      </c>
      <c r="E26" s="153" t="s">
        <v>359</v>
      </c>
      <c r="F26" s="151" t="s">
        <v>360</v>
      </c>
      <c r="G26" s="160">
        <v>46174</v>
      </c>
    </row>
    <row r="27" spans="1:7" ht="48" x14ac:dyDescent="0.2">
      <c r="A27" s="125" t="s">
        <v>361</v>
      </c>
      <c r="B27" s="125" t="s">
        <v>362</v>
      </c>
      <c r="C27" s="159">
        <f>'ETF Sources'!R2</f>
        <v>190.57</v>
      </c>
      <c r="D27" s="159">
        <f>'ETF Sources'!R3</f>
        <v>256.12</v>
      </c>
      <c r="E27" s="159">
        <f>'ETF Sources'!R4</f>
        <v>5.83</v>
      </c>
      <c r="F27" s="151" t="s">
        <v>363</v>
      </c>
      <c r="G27" s="153" t="s">
        <v>325</v>
      </c>
    </row>
    <row r="28" spans="1:7" ht="80" x14ac:dyDescent="0.2">
      <c r="A28" s="125" t="s">
        <v>361</v>
      </c>
      <c r="B28" s="125" t="s">
        <v>364</v>
      </c>
      <c r="C28" s="153" t="s">
        <v>365</v>
      </c>
      <c r="D28" s="155">
        <f>'ETF Sources'!T3</f>
        <v>4.5400000000000003E-2</v>
      </c>
      <c r="E28" s="155">
        <f>'ETF Sources'!T4</f>
        <v>3.9699999999999999E-2</v>
      </c>
      <c r="F28" s="151" t="s">
        <v>366</v>
      </c>
      <c r="G28" s="153" t="s">
        <v>325</v>
      </c>
    </row>
    <row r="29" spans="1:7" ht="64" x14ac:dyDescent="0.2">
      <c r="A29" s="125" t="s">
        <v>361</v>
      </c>
      <c r="B29" s="125" t="s">
        <v>367</v>
      </c>
      <c r="C29" s="153" t="s">
        <v>365</v>
      </c>
      <c r="D29" s="153" t="s">
        <v>368</v>
      </c>
      <c r="E29" s="153" t="s">
        <v>369</v>
      </c>
      <c r="F29" s="151" t="s">
        <v>370</v>
      </c>
      <c r="G29" s="153" t="s">
        <v>325</v>
      </c>
    </row>
    <row r="30" spans="1:7" ht="80" x14ac:dyDescent="0.2">
      <c r="A30" s="125" t="s">
        <v>371</v>
      </c>
      <c r="B30" s="125" t="s">
        <v>372</v>
      </c>
      <c r="C30" s="153" t="s">
        <v>343</v>
      </c>
      <c r="D30" s="155">
        <f>'ETF Sources'!S3</f>
        <v>3.8999999999999998E-3</v>
      </c>
      <c r="E30" s="155">
        <f>'ETF Sources'!S4</f>
        <v>5.1000000000000004E-3</v>
      </c>
      <c r="F30" s="151" t="s">
        <v>373</v>
      </c>
      <c r="G30" s="153" t="s">
        <v>325</v>
      </c>
    </row>
    <row r="31" spans="1:7" ht="80" x14ac:dyDescent="0.2">
      <c r="A31" s="125" t="s">
        <v>371</v>
      </c>
      <c r="B31" s="125" t="s">
        <v>374</v>
      </c>
      <c r="C31" s="153" t="s">
        <v>343</v>
      </c>
      <c r="D31" s="155">
        <f>'ETF Sources'!X3</f>
        <v>4.3900000000000002E-2</v>
      </c>
      <c r="E31" s="155">
        <f>'ETF Sources'!X4</f>
        <v>4.1200000000000001E-2</v>
      </c>
      <c r="F31" s="151" t="s">
        <v>375</v>
      </c>
      <c r="G31" s="160">
        <v>46204</v>
      </c>
    </row>
    <row r="32" spans="1:7" ht="96" x14ac:dyDescent="0.2">
      <c r="A32" s="125" t="s">
        <v>376</v>
      </c>
      <c r="B32" s="125" t="s">
        <v>377</v>
      </c>
      <c r="C32" s="153" t="s">
        <v>378</v>
      </c>
      <c r="D32" s="153" t="s">
        <v>379</v>
      </c>
      <c r="E32" s="153" t="s">
        <v>380</v>
      </c>
      <c r="F32" s="151" t="s">
        <v>381</v>
      </c>
      <c r="G32" s="153" t="s">
        <v>382</v>
      </c>
    </row>
    <row r="33" spans="1:7" x14ac:dyDescent="0.2">
      <c r="A33" s="125"/>
      <c r="B33" s="125"/>
      <c r="C33" s="125"/>
      <c r="D33" s="125"/>
      <c r="E33" s="125"/>
      <c r="F33" s="125"/>
      <c r="G33" s="125"/>
    </row>
    <row r="34" spans="1:7" x14ac:dyDescent="0.2">
      <c r="A34" s="125"/>
      <c r="B34" s="125"/>
      <c r="C34" s="125"/>
      <c r="D34" s="125"/>
      <c r="E34" s="125"/>
      <c r="F34" s="125"/>
      <c r="G34" s="125"/>
    </row>
    <row r="35" spans="1:7" x14ac:dyDescent="0.2">
      <c r="A35" s="125"/>
      <c r="B35" s="125"/>
      <c r="C35" s="125"/>
      <c r="D35" s="125"/>
      <c r="E35" s="125"/>
      <c r="F35" s="125"/>
      <c r="G35" s="125"/>
    </row>
    <row r="36" spans="1:7" x14ac:dyDescent="0.2">
      <c r="A36" s="125"/>
      <c r="B36" s="125"/>
      <c r="C36" s="125"/>
      <c r="D36" s="125"/>
      <c r="E36" s="125"/>
      <c r="F36" s="125"/>
      <c r="G36" s="125"/>
    </row>
    <row r="37" spans="1:7" x14ac:dyDescent="0.2">
      <c r="A37" s="166" t="s">
        <v>383</v>
      </c>
      <c r="B37" s="166"/>
      <c r="C37" s="166"/>
      <c r="D37" s="166"/>
      <c r="E37" s="166"/>
      <c r="F37" s="166"/>
      <c r="G37" s="166"/>
    </row>
    <row r="38" spans="1:7" ht="16" x14ac:dyDescent="0.2">
      <c r="A38" s="161" t="s">
        <v>30</v>
      </c>
      <c r="B38" s="161" t="s">
        <v>384</v>
      </c>
      <c r="C38" s="161" t="s">
        <v>385</v>
      </c>
      <c r="D38" s="161" t="s">
        <v>386</v>
      </c>
      <c r="E38" s="161" t="s">
        <v>387</v>
      </c>
      <c r="F38" s="161" t="s">
        <v>340</v>
      </c>
      <c r="G38" s="161" t="s">
        <v>388</v>
      </c>
    </row>
    <row r="39" spans="1:7" ht="32" x14ac:dyDescent="0.2">
      <c r="A39" s="125" t="s">
        <v>38</v>
      </c>
      <c r="B39" s="125" t="s">
        <v>378</v>
      </c>
      <c r="C39" s="149">
        <v>0.6</v>
      </c>
      <c r="D39" s="149">
        <f>'ETF Sources'!N2</f>
        <v>1.4E-3</v>
      </c>
      <c r="E39" s="149">
        <f>C39*D39</f>
        <v>8.3999999999999993E-4</v>
      </c>
      <c r="F39" s="150">
        <f>'ETF Sources'!O2</f>
        <v>53360000000</v>
      </c>
      <c r="G39" s="125" t="s">
        <v>389</v>
      </c>
    </row>
    <row r="40" spans="1:7" ht="32" x14ac:dyDescent="0.2">
      <c r="A40" s="125" t="s">
        <v>42</v>
      </c>
      <c r="B40" s="125" t="s">
        <v>390</v>
      </c>
      <c r="C40" s="149">
        <v>0.25</v>
      </c>
      <c r="D40" s="149">
        <f>'ETF Sources'!N3</f>
        <v>1E-3</v>
      </c>
      <c r="E40" s="149">
        <f>C40*D40</f>
        <v>2.5000000000000001E-4</v>
      </c>
      <c r="F40" s="150">
        <f>'ETF Sources'!O3</f>
        <v>3534875907</v>
      </c>
      <c r="G40" s="125" t="s">
        <v>391</v>
      </c>
    </row>
    <row r="41" spans="1:7" ht="32" x14ac:dyDescent="0.2">
      <c r="A41" s="125" t="s">
        <v>44</v>
      </c>
      <c r="B41" s="125" t="s">
        <v>392</v>
      </c>
      <c r="C41" s="149">
        <v>0.15</v>
      </c>
      <c r="D41" s="149">
        <f>'ETF Sources'!N4</f>
        <v>1E-3</v>
      </c>
      <c r="E41" s="149">
        <f>C41*D41</f>
        <v>1.4999999999999999E-4</v>
      </c>
      <c r="F41" s="150">
        <f>'ETF Sources'!O4</f>
        <v>4110903665</v>
      </c>
      <c r="G41" s="125" t="s">
        <v>393</v>
      </c>
    </row>
    <row r="42" spans="1:7" ht="48" x14ac:dyDescent="0.2">
      <c r="A42" s="172" t="s">
        <v>394</v>
      </c>
      <c r="B42" s="172"/>
      <c r="C42" s="173">
        <v>1</v>
      </c>
      <c r="D42" s="173"/>
      <c r="E42" s="173">
        <f>SUM(E39:E41)</f>
        <v>1.2399999999999998E-3</v>
      </c>
      <c r="F42" s="172"/>
      <c r="G42" s="172"/>
    </row>
    <row r="43" spans="1:7" x14ac:dyDescent="0.2">
      <c r="A43" s="125"/>
      <c r="B43" s="125"/>
      <c r="C43" s="125"/>
      <c r="D43" s="125"/>
      <c r="E43" s="125"/>
      <c r="F43" s="125"/>
      <c r="G43" s="125"/>
    </row>
    <row r="44" spans="1:7" x14ac:dyDescent="0.2">
      <c r="A44" s="166" t="s">
        <v>395</v>
      </c>
      <c r="B44" s="166"/>
      <c r="C44" s="166"/>
      <c r="D44" s="166"/>
      <c r="E44" s="166"/>
      <c r="F44" s="166"/>
      <c r="G44" s="166"/>
    </row>
    <row r="45" spans="1:7" x14ac:dyDescent="0.2">
      <c r="A45" s="152" t="s">
        <v>396</v>
      </c>
      <c r="B45" s="152"/>
      <c r="C45" s="152"/>
      <c r="D45" s="152"/>
      <c r="E45" s="152"/>
      <c r="F45" s="152"/>
      <c r="G45" s="152"/>
    </row>
    <row r="46" spans="1:7" x14ac:dyDescent="0.2">
      <c r="A46" s="152"/>
      <c r="B46" s="152"/>
      <c r="C46" s="152"/>
      <c r="D46" s="152"/>
      <c r="E46" s="152"/>
      <c r="F46" s="152"/>
      <c r="G46" s="152"/>
    </row>
    <row r="47" spans="1:7" x14ac:dyDescent="0.2">
      <c r="A47" s="152"/>
      <c r="B47" s="152"/>
      <c r="C47" s="152"/>
      <c r="D47" s="152"/>
      <c r="E47" s="152"/>
      <c r="F47" s="152"/>
      <c r="G47" s="152"/>
    </row>
    <row r="48" spans="1:7" x14ac:dyDescent="0.2">
      <c r="A48" s="125"/>
      <c r="B48" s="125"/>
      <c r="C48" s="125"/>
      <c r="D48" s="125"/>
      <c r="E48" s="125"/>
      <c r="F48" s="125"/>
      <c r="G48" s="125"/>
    </row>
    <row r="49" spans="1:7" x14ac:dyDescent="0.2">
      <c r="A49" s="164" t="s">
        <v>397</v>
      </c>
      <c r="B49" s="164"/>
      <c r="C49" s="164"/>
      <c r="D49" s="164"/>
      <c r="E49" s="164"/>
      <c r="F49" s="164"/>
      <c r="G49" s="164"/>
    </row>
    <row r="50" spans="1:7" x14ac:dyDescent="0.2">
      <c r="A50" s="125"/>
      <c r="B50" s="125"/>
      <c r="C50" s="125"/>
      <c r="D50" s="125"/>
      <c r="E50" s="125"/>
      <c r="F50" s="125"/>
      <c r="G50" s="125"/>
    </row>
    <row r="51" spans="1:7" x14ac:dyDescent="0.2">
      <c r="A51" s="125"/>
      <c r="B51" s="125"/>
      <c r="C51" s="125"/>
      <c r="D51" s="125"/>
      <c r="E51" s="125"/>
      <c r="F51" s="125"/>
      <c r="G51" s="125"/>
    </row>
    <row r="52" spans="1:7" x14ac:dyDescent="0.2">
      <c r="A52" s="166" t="s">
        <v>399</v>
      </c>
      <c r="B52" s="166"/>
      <c r="C52" s="166"/>
      <c r="D52" s="166"/>
      <c r="E52" s="166"/>
      <c r="F52" s="166"/>
      <c r="G52" s="166"/>
    </row>
    <row r="53" spans="1:7" x14ac:dyDescent="0.2">
      <c r="A53" s="147" t="s">
        <v>400</v>
      </c>
      <c r="B53" s="147"/>
      <c r="C53" s="147"/>
      <c r="D53" s="147"/>
      <c r="E53" s="147"/>
      <c r="F53" s="147"/>
      <c r="G53" s="147"/>
    </row>
    <row r="54" spans="1:7" x14ac:dyDescent="0.2">
      <c r="A54" s="147"/>
      <c r="B54" s="147"/>
      <c r="C54" s="147"/>
      <c r="D54" s="147"/>
      <c r="E54" s="147"/>
      <c r="F54" s="147"/>
      <c r="G54" s="147"/>
    </row>
    <row r="55" spans="1:7" x14ac:dyDescent="0.2">
      <c r="A55" s="147"/>
      <c r="B55" s="147"/>
      <c r="C55" s="147"/>
      <c r="D55" s="147"/>
      <c r="E55" s="147"/>
      <c r="F55" s="147"/>
      <c r="G55" s="147"/>
    </row>
    <row r="56" spans="1:7" x14ac:dyDescent="0.2">
      <c r="A56" s="125"/>
      <c r="B56" s="125"/>
      <c r="C56" s="125"/>
      <c r="D56" s="125"/>
      <c r="E56" s="125"/>
      <c r="F56" s="125"/>
      <c r="G56" s="125"/>
    </row>
    <row r="57" spans="1:7" ht="16" x14ac:dyDescent="0.2">
      <c r="A57" s="161" t="s">
        <v>401</v>
      </c>
      <c r="B57" s="161" t="s">
        <v>402</v>
      </c>
      <c r="C57" s="161" t="s">
        <v>403</v>
      </c>
      <c r="D57" s="161" t="s">
        <v>404</v>
      </c>
      <c r="E57" s="161" t="s">
        <v>405</v>
      </c>
      <c r="F57" s="161" t="s">
        <v>406</v>
      </c>
      <c r="G57" s="161" t="s">
        <v>407</v>
      </c>
    </row>
    <row r="58" spans="1:7" ht="48" x14ac:dyDescent="0.2">
      <c r="A58" s="125" t="s">
        <v>408</v>
      </c>
      <c r="B58" s="163" t="s">
        <v>409</v>
      </c>
      <c r="C58" s="125" t="s">
        <v>410</v>
      </c>
      <c r="D58" s="125" t="s">
        <v>411</v>
      </c>
      <c r="E58" s="125" t="s">
        <v>412</v>
      </c>
      <c r="F58" s="125" t="s">
        <v>413</v>
      </c>
      <c r="G58" s="125" t="s">
        <v>414</v>
      </c>
    </row>
    <row r="59" spans="1:7" ht="32" x14ac:dyDescent="0.2">
      <c r="A59" s="125" t="s">
        <v>314</v>
      </c>
      <c r="B59" s="163" t="s">
        <v>409</v>
      </c>
      <c r="C59" s="125" t="s">
        <v>415</v>
      </c>
      <c r="D59" s="125" t="s">
        <v>416</v>
      </c>
      <c r="E59" s="125" t="s">
        <v>417</v>
      </c>
      <c r="F59" s="125" t="s">
        <v>413</v>
      </c>
      <c r="G59" s="125" t="s">
        <v>418</v>
      </c>
    </row>
    <row r="60" spans="1:7" ht="128" x14ac:dyDescent="0.2">
      <c r="A60" s="125" t="s">
        <v>419</v>
      </c>
      <c r="B60" s="163" t="s">
        <v>420</v>
      </c>
      <c r="C60" s="125" t="s">
        <v>421</v>
      </c>
      <c r="D60" s="125" t="s">
        <v>422</v>
      </c>
      <c r="E60" s="125" t="s">
        <v>423</v>
      </c>
      <c r="F60" s="125" t="s">
        <v>424</v>
      </c>
      <c r="G60" s="125" t="s">
        <v>425</v>
      </c>
    </row>
    <row r="61" spans="1:7" ht="112" x14ac:dyDescent="0.2">
      <c r="A61" s="125" t="s">
        <v>426</v>
      </c>
      <c r="B61" s="163" t="s">
        <v>420</v>
      </c>
      <c r="C61" s="125" t="s">
        <v>427</v>
      </c>
      <c r="D61" s="125" t="s">
        <v>428</v>
      </c>
      <c r="E61" s="125" t="s">
        <v>429</v>
      </c>
      <c r="F61" s="125" t="s">
        <v>430</v>
      </c>
      <c r="G61" s="125" t="s">
        <v>431</v>
      </c>
    </row>
    <row r="62" spans="1:7" ht="112" x14ac:dyDescent="0.2">
      <c r="A62" s="125" t="s">
        <v>432</v>
      </c>
      <c r="B62" s="163" t="s">
        <v>433</v>
      </c>
      <c r="C62" s="125" t="s">
        <v>434</v>
      </c>
      <c r="D62" s="125" t="s">
        <v>435</v>
      </c>
      <c r="E62" s="125" t="s">
        <v>436</v>
      </c>
      <c r="F62" s="125" t="s">
        <v>437</v>
      </c>
      <c r="G62" s="125" t="s">
        <v>438</v>
      </c>
    </row>
    <row r="63" spans="1:7" ht="96" x14ac:dyDescent="0.2">
      <c r="A63" s="125" t="s">
        <v>439</v>
      </c>
      <c r="B63" s="163" t="s">
        <v>440</v>
      </c>
      <c r="C63" s="125" t="s">
        <v>441</v>
      </c>
      <c r="D63" s="125" t="s">
        <v>442</v>
      </c>
      <c r="E63" s="125" t="s">
        <v>443</v>
      </c>
      <c r="F63" s="125" t="s">
        <v>430</v>
      </c>
      <c r="G63" s="125" t="s">
        <v>444</v>
      </c>
    </row>
    <row r="64" spans="1:7" ht="96" x14ac:dyDescent="0.2">
      <c r="A64" s="125" t="s">
        <v>445</v>
      </c>
      <c r="B64" s="163" t="s">
        <v>420</v>
      </c>
      <c r="C64" s="125" t="s">
        <v>446</v>
      </c>
      <c r="D64" s="125" t="s">
        <v>447</v>
      </c>
      <c r="E64" s="125" t="s">
        <v>448</v>
      </c>
      <c r="F64" s="125" t="s">
        <v>430</v>
      </c>
      <c r="G64" s="125" t="s">
        <v>449</v>
      </c>
    </row>
    <row r="65" spans="1:7" ht="64" x14ac:dyDescent="0.2">
      <c r="A65" s="125" t="s">
        <v>450</v>
      </c>
      <c r="B65" s="163" t="s">
        <v>451</v>
      </c>
      <c r="C65" s="125" t="s">
        <v>452</v>
      </c>
      <c r="D65" s="125" t="s">
        <v>453</v>
      </c>
      <c r="E65" s="125" t="s">
        <v>454</v>
      </c>
      <c r="F65" s="125" t="s">
        <v>413</v>
      </c>
      <c r="G65" s="125" t="s">
        <v>455</v>
      </c>
    </row>
    <row r="66" spans="1:7" ht="80" x14ac:dyDescent="0.2">
      <c r="A66" s="125" t="s">
        <v>456</v>
      </c>
      <c r="B66" s="163" t="s">
        <v>457</v>
      </c>
      <c r="C66" s="125" t="s">
        <v>458</v>
      </c>
      <c r="D66" s="125" t="s">
        <v>459</v>
      </c>
      <c r="E66" s="125" t="s">
        <v>460</v>
      </c>
      <c r="F66" s="125" t="s">
        <v>413</v>
      </c>
      <c r="G66" s="125" t="s">
        <v>461</v>
      </c>
    </row>
    <row r="67" spans="1:7" ht="48" x14ac:dyDescent="0.2">
      <c r="A67" s="125" t="s">
        <v>462</v>
      </c>
      <c r="B67" s="163" t="s">
        <v>463</v>
      </c>
      <c r="C67" s="125" t="s">
        <v>464</v>
      </c>
      <c r="D67" s="125" t="s">
        <v>465</v>
      </c>
      <c r="E67" s="125" t="s">
        <v>466</v>
      </c>
      <c r="F67" s="125" t="s">
        <v>413</v>
      </c>
      <c r="G67" s="125" t="s">
        <v>467</v>
      </c>
    </row>
    <row r="68" spans="1:7" ht="32" x14ac:dyDescent="0.2">
      <c r="A68" s="125" t="s">
        <v>468</v>
      </c>
      <c r="B68" s="163" t="s">
        <v>463</v>
      </c>
      <c r="C68" s="125" t="s">
        <v>469</v>
      </c>
      <c r="D68" s="125" t="s">
        <v>470</v>
      </c>
      <c r="E68" s="125" t="s">
        <v>471</v>
      </c>
      <c r="F68" s="125" t="s">
        <v>413</v>
      </c>
      <c r="G68" s="125" t="s">
        <v>472</v>
      </c>
    </row>
    <row r="69" spans="1:7" ht="80" x14ac:dyDescent="0.2">
      <c r="A69" s="125" t="s">
        <v>473</v>
      </c>
      <c r="B69" s="163" t="s">
        <v>474</v>
      </c>
      <c r="C69" s="125" t="s">
        <v>475</v>
      </c>
      <c r="D69" s="125" t="s">
        <v>476</v>
      </c>
      <c r="E69" s="125" t="s">
        <v>477</v>
      </c>
      <c r="F69" s="125" t="s">
        <v>413</v>
      </c>
      <c r="G69" s="125" t="s">
        <v>478</v>
      </c>
    </row>
    <row r="70" spans="1:7" ht="48" x14ac:dyDescent="0.2">
      <c r="A70" s="125" t="s">
        <v>479</v>
      </c>
      <c r="B70" s="163" t="s">
        <v>503</v>
      </c>
      <c r="C70" s="125" t="s">
        <v>480</v>
      </c>
      <c r="D70" s="125" t="str">
        <f>"Com os retornos de 2022 da pasta, 60%×"&amp;TEXT('Cenário 1 - Buy &amp; Hold'!C10,"0.0%")&amp;" + 25%×"&amp;TEXT('Cenário 1 - Buy &amp; Hold'!D10,"0.0%")&amp;" + 15%×"&amp;TEXT('Cenário 1 - Buy &amp; Hold'!E10,"0.0%")&amp;" = "&amp;TEXT($C$39*'Cenário 1 - Buy &amp; Hold'!C10+$C$40*'Cenário 1 - Buy &amp; Hold'!D10+$C$41*'Cenário 1 - Buy &amp; Hold'!E10,"0.00%")&amp;"."</f>
        <v>Com os retornos de 2022 da pasta, 60%×-18.1% + 25%×-12.7% + 15%×-10.3% = -15.56%.</v>
      </c>
      <c r="E70" s="125" t="s">
        <v>504</v>
      </c>
      <c r="F70" s="125" t="s">
        <v>413</v>
      </c>
      <c r="G70" s="125" t="s">
        <v>505</v>
      </c>
    </row>
    <row r="71" spans="1:7" ht="80" x14ac:dyDescent="0.2">
      <c r="A71" s="125" t="s">
        <v>481</v>
      </c>
      <c r="B71" s="163" t="s">
        <v>482</v>
      </c>
      <c r="C71" s="125" t="s">
        <v>483</v>
      </c>
      <c r="D71" s="125" t="s">
        <v>484</v>
      </c>
      <c r="E71" s="125" t="s">
        <v>485</v>
      </c>
      <c r="F71" s="125" t="s">
        <v>437</v>
      </c>
      <c r="G71" s="125" t="s">
        <v>486</v>
      </c>
    </row>
    <row r="72" spans="1:7" ht="80" x14ac:dyDescent="0.2">
      <c r="A72" s="125" t="s">
        <v>487</v>
      </c>
      <c r="B72" s="163" t="s">
        <v>488</v>
      </c>
      <c r="C72" s="125" t="s">
        <v>489</v>
      </c>
      <c r="D72" s="125" t="s">
        <v>490</v>
      </c>
      <c r="E72" s="125" t="s">
        <v>491</v>
      </c>
      <c r="F72" s="125" t="s">
        <v>413</v>
      </c>
      <c r="G72" s="125" t="s">
        <v>492</v>
      </c>
    </row>
    <row r="73" spans="1:7" ht="48" x14ac:dyDescent="0.2">
      <c r="A73" s="125" t="s">
        <v>493</v>
      </c>
      <c r="B73" s="163" t="s">
        <v>494</v>
      </c>
      <c r="C73" s="125" t="s">
        <v>495</v>
      </c>
      <c r="D73" s="125" t="s">
        <v>496</v>
      </c>
      <c r="E73" s="125" t="s">
        <v>497</v>
      </c>
      <c r="F73" s="125" t="s">
        <v>413</v>
      </c>
      <c r="G73" s="125" t="s">
        <v>498</v>
      </c>
    </row>
    <row r="74" spans="1:7" x14ac:dyDescent="0.2">
      <c r="A74" s="125"/>
      <c r="B74" s="125"/>
      <c r="C74" s="125"/>
      <c r="D74" s="125"/>
      <c r="E74" s="125"/>
      <c r="F74" s="125"/>
      <c r="G74" s="125"/>
    </row>
    <row r="75" spans="1:7" x14ac:dyDescent="0.2">
      <c r="A75" s="166" t="s">
        <v>499</v>
      </c>
      <c r="B75" s="166"/>
      <c r="C75" s="166"/>
      <c r="D75" s="166"/>
      <c r="E75" s="166"/>
      <c r="F75" s="166"/>
      <c r="G75" s="166"/>
    </row>
    <row r="76" spans="1:7" x14ac:dyDescent="0.2">
      <c r="A76" s="152" t="s">
        <v>500</v>
      </c>
      <c r="B76" s="152"/>
      <c r="C76" s="152"/>
      <c r="D76" s="152"/>
      <c r="E76" s="152"/>
      <c r="F76" s="152"/>
      <c r="G76" s="152"/>
    </row>
    <row r="77" spans="1:7" x14ac:dyDescent="0.2">
      <c r="A77" s="152"/>
      <c r="B77" s="152"/>
      <c r="C77" s="152"/>
      <c r="D77" s="152"/>
      <c r="E77" s="152"/>
      <c r="F77" s="152"/>
      <c r="G77" s="152"/>
    </row>
    <row r="78" spans="1:7" x14ac:dyDescent="0.2">
      <c r="A78" s="152"/>
      <c r="B78" s="152"/>
      <c r="C78" s="152"/>
      <c r="D78" s="152"/>
      <c r="E78" s="152"/>
      <c r="F78" s="152"/>
      <c r="G78" s="152"/>
    </row>
    <row r="79" spans="1:7" x14ac:dyDescent="0.2">
      <c r="A79" s="152"/>
      <c r="B79" s="152"/>
      <c r="C79" s="152"/>
      <c r="D79" s="152"/>
      <c r="E79" s="152"/>
      <c r="F79" s="152"/>
      <c r="G79" s="152"/>
    </row>
    <row r="80" spans="1:7" x14ac:dyDescent="0.2">
      <c r="A80" s="125"/>
      <c r="B80" s="125"/>
      <c r="C80" s="125"/>
      <c r="D80" s="125"/>
      <c r="E80" s="125"/>
      <c r="F80" s="125"/>
      <c r="G80" s="125"/>
    </row>
    <row r="81" spans="1:7" x14ac:dyDescent="0.2">
      <c r="A81" s="164" t="s">
        <v>501</v>
      </c>
      <c r="B81" s="164"/>
      <c r="C81" s="164"/>
      <c r="D81" s="164"/>
      <c r="E81" s="164"/>
      <c r="F81" s="164"/>
      <c r="G81" s="164"/>
    </row>
    <row r="83" spans="1:7" x14ac:dyDescent="0.2">
      <c r="A83" s="146" t="s">
        <v>506</v>
      </c>
      <c r="B83" s="146"/>
      <c r="C83" s="146"/>
      <c r="D83" s="146"/>
      <c r="E83" s="146"/>
      <c r="F83" s="146"/>
      <c r="G83" s="146"/>
    </row>
    <row r="84" spans="1:7" x14ac:dyDescent="0.2">
      <c r="A84" s="147" t="s">
        <v>507</v>
      </c>
      <c r="B84" s="147"/>
      <c r="C84" s="147"/>
      <c r="D84" s="147"/>
      <c r="E84" s="147"/>
      <c r="F84" s="147"/>
      <c r="G84" s="147"/>
    </row>
    <row r="85" spans="1:7" x14ac:dyDescent="0.2">
      <c r="A85" s="147"/>
      <c r="B85" s="147"/>
      <c r="C85" s="147"/>
      <c r="D85" s="147"/>
      <c r="E85" s="147"/>
      <c r="F85" s="147"/>
      <c r="G85" s="147"/>
    </row>
    <row r="86" spans="1:7" x14ac:dyDescent="0.2">
      <c r="A86" s="147"/>
      <c r="B86" s="147"/>
      <c r="C86" s="147"/>
      <c r="D86" s="147"/>
      <c r="E86" s="147"/>
      <c r="F86" s="147"/>
      <c r="G86" s="147"/>
    </row>
    <row r="87" spans="1:7" x14ac:dyDescent="0.2">
      <c r="A87" s="147"/>
      <c r="B87" s="147"/>
      <c r="C87" s="147"/>
      <c r="D87" s="147"/>
      <c r="E87" s="147"/>
      <c r="F87" s="147"/>
      <c r="G87" s="147"/>
    </row>
    <row r="89" spans="1:7" x14ac:dyDescent="0.2">
      <c r="A89" s="140" t="s">
        <v>508</v>
      </c>
      <c r="B89" s="140" t="s">
        <v>509</v>
      </c>
      <c r="C89" s="140" t="s">
        <v>510</v>
      </c>
      <c r="D89" s="140" t="s">
        <v>38</v>
      </c>
      <c r="E89" s="140" t="s">
        <v>511</v>
      </c>
      <c r="F89" s="140" t="s">
        <v>44</v>
      </c>
      <c r="G89" s="140" t="s">
        <v>512</v>
      </c>
    </row>
    <row r="90" spans="1:7" ht="48" x14ac:dyDescent="0.2">
      <c r="A90" s="125" t="s">
        <v>513</v>
      </c>
      <c r="B90" s="125" t="s">
        <v>514</v>
      </c>
      <c r="C90" s="125" t="s">
        <v>515</v>
      </c>
      <c r="D90" s="125" t="s">
        <v>516</v>
      </c>
      <c r="E90" s="125" t="s">
        <v>517</v>
      </c>
      <c r="F90" s="125" t="s">
        <v>517</v>
      </c>
      <c r="G90" s="125" t="s">
        <v>518</v>
      </c>
    </row>
    <row r="91" spans="1:7" ht="48" x14ac:dyDescent="0.2">
      <c r="A91" s="125" t="s">
        <v>519</v>
      </c>
      <c r="B91" s="125" t="s">
        <v>520</v>
      </c>
      <c r="C91" s="125" t="s">
        <v>521</v>
      </c>
      <c r="D91" s="125" t="s">
        <v>522</v>
      </c>
      <c r="E91" s="125" t="s">
        <v>523</v>
      </c>
      <c r="F91" s="125" t="s">
        <v>524</v>
      </c>
      <c r="G91" s="125" t="s">
        <v>525</v>
      </c>
    </row>
    <row r="92" spans="1:7" ht="48" x14ac:dyDescent="0.2">
      <c r="A92" s="125" t="s">
        <v>526</v>
      </c>
      <c r="B92" s="125" t="s">
        <v>527</v>
      </c>
      <c r="C92" s="125" t="s">
        <v>528</v>
      </c>
      <c r="D92" s="125" t="s">
        <v>529</v>
      </c>
      <c r="E92" s="125" t="s">
        <v>530</v>
      </c>
      <c r="F92" s="125" t="s">
        <v>531</v>
      </c>
      <c r="G92" s="125" t="s">
        <v>532</v>
      </c>
    </row>
    <row r="93" spans="1:7" ht="64" x14ac:dyDescent="0.2">
      <c r="A93" s="125" t="s">
        <v>533</v>
      </c>
      <c r="B93" s="125" t="s">
        <v>534</v>
      </c>
      <c r="C93" s="125" t="s">
        <v>535</v>
      </c>
      <c r="D93" s="125" t="s">
        <v>536</v>
      </c>
      <c r="E93" s="125" t="s">
        <v>536</v>
      </c>
      <c r="F93" s="125" t="s">
        <v>536</v>
      </c>
      <c r="G93" s="125" t="s">
        <v>537</v>
      </c>
    </row>
    <row r="94" spans="1:7" ht="48" x14ac:dyDescent="0.2">
      <c r="A94" s="125" t="s">
        <v>538</v>
      </c>
      <c r="B94" s="125" t="s">
        <v>539</v>
      </c>
      <c r="C94" s="125" t="s">
        <v>540</v>
      </c>
      <c r="D94" s="125" t="s">
        <v>541</v>
      </c>
      <c r="E94" s="125" t="s">
        <v>542</v>
      </c>
      <c r="F94" s="125" t="s">
        <v>543</v>
      </c>
      <c r="G94" s="125" t="s">
        <v>544</v>
      </c>
    </row>
    <row r="96" spans="1:7" x14ac:dyDescent="0.2">
      <c r="A96" s="146" t="s">
        <v>545</v>
      </c>
      <c r="B96" s="146"/>
      <c r="C96" s="146"/>
      <c r="D96" s="146"/>
      <c r="E96" s="146"/>
      <c r="F96" s="146"/>
      <c r="G96" s="146"/>
    </row>
    <row r="97" spans="1:7" x14ac:dyDescent="0.2">
      <c r="A97" s="140" t="s">
        <v>135</v>
      </c>
      <c r="B97" s="140" t="s">
        <v>546</v>
      </c>
      <c r="C97" s="140" t="s">
        <v>547</v>
      </c>
      <c r="D97" s="140" t="s">
        <v>548</v>
      </c>
      <c r="E97" s="140" t="s">
        <v>549</v>
      </c>
      <c r="F97" s="140" t="s">
        <v>550</v>
      </c>
      <c r="G97" s="140" t="s">
        <v>551</v>
      </c>
    </row>
    <row r="98" spans="1:7" ht="48" x14ac:dyDescent="0.2">
      <c r="A98" s="125" t="s">
        <v>552</v>
      </c>
      <c r="B98" s="125" t="s">
        <v>553</v>
      </c>
      <c r="C98" s="149">
        <f>$C$39*'Cenário 1 - Buy &amp; Hold'!C10+$C$40*'Cenário 1 - Buy &amp; Hold'!D10+$C$41*'Cenário 1 - Buy &amp; Hold'!E10</f>
        <v>-0.15562000000000001</v>
      </c>
      <c r="D98" s="125" t="s">
        <v>554</v>
      </c>
      <c r="E98" s="125" t="s">
        <v>555</v>
      </c>
      <c r="F98" s="163" t="s">
        <v>556</v>
      </c>
      <c r="G98" s="125" t="s">
        <v>557</v>
      </c>
    </row>
    <row r="99" spans="1:7" ht="32" x14ac:dyDescent="0.2">
      <c r="A99" s="125" t="s">
        <v>558</v>
      </c>
      <c r="B99" s="125" t="s">
        <v>559</v>
      </c>
      <c r="C99" s="174">
        <f>$B$11</f>
        <v>1.2399999999999998E-3</v>
      </c>
      <c r="D99" s="125" t="s">
        <v>417</v>
      </c>
      <c r="E99" s="125" t="s">
        <v>560</v>
      </c>
      <c r="F99" s="163" t="s">
        <v>561</v>
      </c>
      <c r="G99" s="125" t="s">
        <v>562</v>
      </c>
    </row>
    <row r="100" spans="1:7" ht="32" x14ac:dyDescent="0.2">
      <c r="A100" s="125" t="s">
        <v>563</v>
      </c>
      <c r="B100" s="125" t="s">
        <v>564</v>
      </c>
      <c r="C100" s="175">
        <f>$D$11</f>
        <v>6.3737500000000002</v>
      </c>
      <c r="D100" s="125" t="s">
        <v>565</v>
      </c>
      <c r="E100" s="125" t="s">
        <v>566</v>
      </c>
      <c r="F100" s="163" t="s">
        <v>567</v>
      </c>
      <c r="G100" s="125" t="s">
        <v>568</v>
      </c>
    </row>
    <row r="102" spans="1:7" x14ac:dyDescent="0.2">
      <c r="A102" s="146" t="s">
        <v>569</v>
      </c>
      <c r="B102" s="146"/>
      <c r="C102" s="146"/>
      <c r="D102" s="146"/>
      <c r="E102" s="146"/>
      <c r="F102" s="146"/>
      <c r="G102" s="146"/>
    </row>
    <row r="103" spans="1:7" x14ac:dyDescent="0.2">
      <c r="A103" s="152" t="s">
        <v>570</v>
      </c>
      <c r="B103" s="152"/>
      <c r="C103" s="152"/>
      <c r="D103" s="152"/>
      <c r="E103" s="152"/>
      <c r="F103" s="152"/>
      <c r="G103" s="152"/>
    </row>
    <row r="104" spans="1:7" x14ac:dyDescent="0.2">
      <c r="A104" s="152"/>
      <c r="B104" s="152"/>
      <c r="C104" s="152"/>
      <c r="D104" s="152"/>
      <c r="E104" s="152"/>
      <c r="F104" s="152"/>
      <c r="G104" s="152"/>
    </row>
    <row r="105" spans="1:7" x14ac:dyDescent="0.2">
      <c r="A105" s="152"/>
      <c r="B105" s="152"/>
      <c r="C105" s="152"/>
      <c r="D105" s="152"/>
      <c r="E105" s="152"/>
      <c r="F105" s="152"/>
      <c r="G105" s="152"/>
    </row>
    <row r="106" spans="1:7" x14ac:dyDescent="0.2">
      <c r="A106" s="152"/>
      <c r="B106" s="152"/>
      <c r="C106" s="152"/>
      <c r="D106" s="152"/>
      <c r="E106" s="152"/>
      <c r="F106" s="152"/>
      <c r="G106" s="152"/>
    </row>
    <row r="108" spans="1:7" x14ac:dyDescent="0.2">
      <c r="A108" s="176" t="s">
        <v>571</v>
      </c>
      <c r="B108" s="176"/>
      <c r="C108" s="176"/>
      <c r="D108" s="176"/>
      <c r="E108" s="176"/>
      <c r="F108" s="176"/>
      <c r="G108" s="176"/>
    </row>
    <row r="110" spans="1:7" x14ac:dyDescent="0.2">
      <c r="A110" s="146" t="s">
        <v>576</v>
      </c>
      <c r="B110" s="146"/>
      <c r="C110" s="146"/>
      <c r="D110" s="146"/>
      <c r="E110" s="146"/>
      <c r="F110" s="146"/>
      <c r="G110" s="146"/>
    </row>
    <row r="111" spans="1:7" x14ac:dyDescent="0.2">
      <c r="A111" s="147" t="s">
        <v>577</v>
      </c>
      <c r="B111" s="147"/>
      <c r="C111" s="147"/>
      <c r="D111" s="147"/>
      <c r="E111" s="147"/>
      <c r="F111" s="147"/>
      <c r="G111" s="147"/>
    </row>
    <row r="112" spans="1:7" x14ac:dyDescent="0.2">
      <c r="A112" s="147"/>
      <c r="B112" s="147"/>
      <c r="C112" s="147"/>
      <c r="D112" s="147"/>
      <c r="E112" s="147"/>
      <c r="F112" s="147"/>
      <c r="G112" s="147"/>
    </row>
    <row r="113" spans="1:7" x14ac:dyDescent="0.2">
      <c r="A113" s="147"/>
      <c r="B113" s="147"/>
      <c r="C113" s="147"/>
      <c r="D113" s="147"/>
      <c r="E113" s="147"/>
      <c r="F113" s="147"/>
      <c r="G113" s="147"/>
    </row>
    <row r="114" spans="1:7" x14ac:dyDescent="0.2">
      <c r="A114" s="147"/>
      <c r="B114" s="147"/>
      <c r="C114" s="147"/>
      <c r="D114" s="147"/>
      <c r="E114" s="147"/>
      <c r="F114" s="147"/>
      <c r="G114" s="147"/>
    </row>
    <row r="116" spans="1:7" x14ac:dyDescent="0.2">
      <c r="A116" s="140" t="s">
        <v>401</v>
      </c>
      <c r="B116" s="140" t="s">
        <v>402</v>
      </c>
      <c r="C116" s="140" t="s">
        <v>578</v>
      </c>
      <c r="D116" s="140" t="s">
        <v>579</v>
      </c>
      <c r="E116" s="140" t="s">
        <v>580</v>
      </c>
      <c r="F116" s="140" t="s">
        <v>581</v>
      </c>
      <c r="G116" s="140" t="s">
        <v>582</v>
      </c>
    </row>
    <row r="117" spans="1:7" ht="48" x14ac:dyDescent="0.2">
      <c r="A117" s="125" t="s">
        <v>583</v>
      </c>
      <c r="B117" s="163" t="s">
        <v>584</v>
      </c>
      <c r="C117" s="125" t="s">
        <v>585</v>
      </c>
      <c r="D117" s="125" t="s">
        <v>586</v>
      </c>
      <c r="E117" s="125" t="s">
        <v>587</v>
      </c>
      <c r="F117" s="125" t="s">
        <v>588</v>
      </c>
      <c r="G117" s="125" t="s">
        <v>589</v>
      </c>
    </row>
    <row r="118" spans="1:7" ht="64" x14ac:dyDescent="0.2">
      <c r="A118" s="125" t="s">
        <v>590</v>
      </c>
      <c r="B118" s="163" t="s">
        <v>409</v>
      </c>
      <c r="C118" s="125" t="s">
        <v>591</v>
      </c>
      <c r="D118" s="125" t="s">
        <v>592</v>
      </c>
      <c r="E118" s="125" t="s">
        <v>593</v>
      </c>
      <c r="F118" s="125" t="s">
        <v>594</v>
      </c>
      <c r="G118" s="125" t="s">
        <v>595</v>
      </c>
    </row>
    <row r="119" spans="1:7" ht="48" x14ac:dyDescent="0.2">
      <c r="A119" s="125" t="s">
        <v>596</v>
      </c>
      <c r="B119" s="163" t="s">
        <v>597</v>
      </c>
      <c r="C119" s="125" t="s">
        <v>598</v>
      </c>
      <c r="D119" s="125" t="s">
        <v>599</v>
      </c>
      <c r="E119" s="125" t="s">
        <v>600</v>
      </c>
      <c r="F119" s="125" t="s">
        <v>601</v>
      </c>
      <c r="G119" s="125" t="s">
        <v>602</v>
      </c>
    </row>
    <row r="120" spans="1:7" ht="48" x14ac:dyDescent="0.2">
      <c r="A120" s="125" t="s">
        <v>603</v>
      </c>
      <c r="B120" s="163" t="s">
        <v>604</v>
      </c>
      <c r="C120" s="125" t="s">
        <v>605</v>
      </c>
      <c r="D120" s="125" t="s">
        <v>606</v>
      </c>
      <c r="E120" s="125" t="s">
        <v>607</v>
      </c>
      <c r="F120" s="125" t="s">
        <v>608</v>
      </c>
      <c r="G120" s="125" t="s">
        <v>609</v>
      </c>
    </row>
    <row r="121" spans="1:7" ht="64" x14ac:dyDescent="0.2">
      <c r="A121" s="125" t="s">
        <v>610</v>
      </c>
      <c r="B121" s="163" t="s">
        <v>409</v>
      </c>
      <c r="C121" s="125" t="s">
        <v>611</v>
      </c>
      <c r="D121" s="125" t="s">
        <v>612</v>
      </c>
      <c r="E121" s="125" t="s">
        <v>613</v>
      </c>
      <c r="F121" s="125" t="s">
        <v>614</v>
      </c>
      <c r="G121" s="125" t="s">
        <v>615</v>
      </c>
    </row>
    <row r="122" spans="1:7" ht="64" x14ac:dyDescent="0.2">
      <c r="A122" s="125" t="s">
        <v>616</v>
      </c>
      <c r="B122" s="163" t="s">
        <v>617</v>
      </c>
      <c r="C122" s="125" t="s">
        <v>618</v>
      </c>
      <c r="D122" s="125" t="s">
        <v>619</v>
      </c>
      <c r="E122" s="125" t="s">
        <v>620</v>
      </c>
      <c r="F122" s="125" t="s">
        <v>621</v>
      </c>
      <c r="G122" s="125" t="s">
        <v>622</v>
      </c>
    </row>
    <row r="123" spans="1:7" ht="64" x14ac:dyDescent="0.2">
      <c r="A123" s="125" t="s">
        <v>623</v>
      </c>
      <c r="B123" s="163" t="s">
        <v>624</v>
      </c>
      <c r="C123" s="125" t="s">
        <v>625</v>
      </c>
      <c r="D123" s="125" t="s">
        <v>626</v>
      </c>
      <c r="E123" s="125" t="s">
        <v>627</v>
      </c>
      <c r="F123" s="125" t="s">
        <v>628</v>
      </c>
      <c r="G123" s="125" t="s">
        <v>629</v>
      </c>
    </row>
    <row r="124" spans="1:7" ht="48" x14ac:dyDescent="0.2">
      <c r="A124" s="125" t="s">
        <v>630</v>
      </c>
      <c r="B124" s="163" t="s">
        <v>409</v>
      </c>
      <c r="C124" s="125" t="s">
        <v>631</v>
      </c>
      <c r="D124" s="125" t="s">
        <v>632</v>
      </c>
      <c r="E124" s="125" t="s">
        <v>613</v>
      </c>
      <c r="F124" s="125" t="s">
        <v>633</v>
      </c>
      <c r="G124" s="125" t="s">
        <v>634</v>
      </c>
    </row>
    <row r="125" spans="1:7" ht="48" x14ac:dyDescent="0.2">
      <c r="A125" s="125" t="s">
        <v>635</v>
      </c>
      <c r="B125" s="163" t="s">
        <v>636</v>
      </c>
      <c r="C125" s="125" t="s">
        <v>637</v>
      </c>
      <c r="D125" s="125" t="s">
        <v>638</v>
      </c>
      <c r="E125" s="125" t="s">
        <v>639</v>
      </c>
      <c r="F125" s="125" t="s">
        <v>640</v>
      </c>
      <c r="G125" s="125" t="s">
        <v>641</v>
      </c>
    </row>
    <row r="126" spans="1:7" ht="64" x14ac:dyDescent="0.2">
      <c r="A126" s="125" t="s">
        <v>642</v>
      </c>
      <c r="B126" s="163" t="s">
        <v>643</v>
      </c>
      <c r="C126" s="125" t="s">
        <v>644</v>
      </c>
      <c r="D126" s="125" t="s">
        <v>645</v>
      </c>
      <c r="E126" s="125" t="s">
        <v>646</v>
      </c>
      <c r="F126" s="125" t="s">
        <v>647</v>
      </c>
      <c r="G126" s="125" t="s">
        <v>648</v>
      </c>
    </row>
    <row r="127" spans="1:7" ht="48" x14ac:dyDescent="0.2">
      <c r="A127" s="125" t="s">
        <v>649</v>
      </c>
      <c r="B127" s="163" t="s">
        <v>650</v>
      </c>
      <c r="C127" s="125" t="s">
        <v>651</v>
      </c>
      <c r="D127" s="125" t="s">
        <v>652</v>
      </c>
      <c r="E127" s="125" t="s">
        <v>653</v>
      </c>
      <c r="F127" s="125" t="s">
        <v>654</v>
      </c>
      <c r="G127" s="125" t="s">
        <v>655</v>
      </c>
    </row>
    <row r="128" spans="1:7" ht="64" x14ac:dyDescent="0.2">
      <c r="A128" s="125" t="s">
        <v>656</v>
      </c>
      <c r="B128" s="163" t="s">
        <v>657</v>
      </c>
      <c r="C128" s="125" t="s">
        <v>658</v>
      </c>
      <c r="D128" s="125" t="s">
        <v>659</v>
      </c>
      <c r="E128" s="125" t="s">
        <v>660</v>
      </c>
      <c r="F128" s="125" t="s">
        <v>661</v>
      </c>
      <c r="G128" s="125" t="s">
        <v>662</v>
      </c>
    </row>
    <row r="130" spans="1:7" x14ac:dyDescent="0.2">
      <c r="A130" s="146" t="s">
        <v>663</v>
      </c>
      <c r="B130" s="146"/>
      <c r="C130" s="146"/>
      <c r="D130" s="146"/>
      <c r="E130" s="146"/>
      <c r="F130" s="146"/>
      <c r="G130" s="146"/>
    </row>
    <row r="131" spans="1:7" x14ac:dyDescent="0.2">
      <c r="A131" s="140" t="s">
        <v>664</v>
      </c>
      <c r="B131" s="140" t="s">
        <v>38</v>
      </c>
      <c r="C131" s="140" t="s">
        <v>44</v>
      </c>
      <c r="D131" s="140" t="s">
        <v>42</v>
      </c>
      <c r="E131" s="140" t="s">
        <v>665</v>
      </c>
      <c r="F131" s="140" t="s">
        <v>666</v>
      </c>
      <c r="G131" s="140" t="s">
        <v>550</v>
      </c>
    </row>
    <row r="132" spans="1:7" ht="32" x14ac:dyDescent="0.2">
      <c r="A132" s="125" t="s">
        <v>667</v>
      </c>
      <c r="B132" s="149">
        <v>0.7</v>
      </c>
      <c r="C132" s="149">
        <v>0.2</v>
      </c>
      <c r="D132" s="149">
        <v>0.1</v>
      </c>
      <c r="E132" s="177">
        <f>B132*'Cenário 1 - Buy &amp; Hold'!C10+C132*'Cenário 1 - Buy &amp; Hold'!E10+D132*'Cenário 1 - Buy &amp; Hold'!D10</f>
        <v>-0.15978999999999999</v>
      </c>
      <c r="F132" s="125" t="s">
        <v>671</v>
      </c>
      <c r="G132" s="125" t="s">
        <v>673</v>
      </c>
    </row>
    <row r="133" spans="1:7" ht="32" x14ac:dyDescent="0.2">
      <c r="A133" s="125" t="s">
        <v>668</v>
      </c>
      <c r="B133" s="149">
        <v>0.6</v>
      </c>
      <c r="C133" s="149">
        <v>0.3</v>
      </c>
      <c r="D133" s="149">
        <v>0.1</v>
      </c>
      <c r="E133" s="177">
        <f>B133*'Cenário 1 - Buy &amp; Hold'!C10+C133*'Cenário 1 - Buy &amp; Hold'!E10+D133*'Cenário 1 - Buy &amp; Hold'!D10</f>
        <v>-0.15201999999999999</v>
      </c>
      <c r="F133" s="125" t="s">
        <v>671</v>
      </c>
      <c r="G133" s="125" t="s">
        <v>673</v>
      </c>
    </row>
    <row r="134" spans="1:7" ht="48" x14ac:dyDescent="0.2">
      <c r="A134" s="125" t="s">
        <v>669</v>
      </c>
      <c r="B134" s="149">
        <v>0.5</v>
      </c>
      <c r="C134" s="149">
        <v>0.4</v>
      </c>
      <c r="D134" s="149">
        <v>0.1</v>
      </c>
      <c r="E134" s="177">
        <f>B134*'Cenário 1 - Buy &amp; Hold'!C10+C134*'Cenário 1 - Buy &amp; Hold'!E10+D134*'Cenário 1 - Buy &amp; Hold'!D10</f>
        <v>-0.14424999999999999</v>
      </c>
      <c r="F134" s="125" t="s">
        <v>672</v>
      </c>
      <c r="G134" s="125" t="s">
        <v>673</v>
      </c>
    </row>
    <row r="135" spans="1:7" ht="48" x14ac:dyDescent="0.2">
      <c r="A135" s="125" t="s">
        <v>670</v>
      </c>
      <c r="B135" s="149">
        <v>0.4</v>
      </c>
      <c r="C135" s="149">
        <v>0.45</v>
      </c>
      <c r="D135" s="149">
        <v>0.15</v>
      </c>
      <c r="E135" s="177">
        <f>B135*'Cenário 1 - Buy &amp; Hold'!C10+C135*'Cenário 1 - Buy &amp; Hold'!E10+D135*'Cenário 1 - Buy &amp; Hold'!D10</f>
        <v>-0.13768</v>
      </c>
      <c r="F135" s="125" t="s">
        <v>672</v>
      </c>
      <c r="G135" s="125" t="s">
        <v>673</v>
      </c>
    </row>
    <row r="137" spans="1:7" x14ac:dyDescent="0.2">
      <c r="A137" s="146" t="s">
        <v>674</v>
      </c>
      <c r="B137" s="146"/>
      <c r="C137" s="146"/>
      <c r="D137" s="146"/>
      <c r="E137" s="146"/>
      <c r="F137" s="146"/>
      <c r="G137" s="146"/>
    </row>
    <row r="138" spans="1:7" x14ac:dyDescent="0.2">
      <c r="A138" s="152" t="s">
        <v>675</v>
      </c>
      <c r="B138" s="152"/>
      <c r="C138" s="152"/>
      <c r="D138" s="152"/>
      <c r="E138" s="152"/>
      <c r="F138" s="152"/>
      <c r="G138" s="152"/>
    </row>
    <row r="139" spans="1:7" x14ac:dyDescent="0.2">
      <c r="A139" s="152"/>
      <c r="B139" s="152"/>
      <c r="C139" s="152"/>
      <c r="D139" s="152"/>
      <c r="E139" s="152"/>
      <c r="F139" s="152"/>
      <c r="G139" s="152"/>
    </row>
    <row r="140" spans="1:7" x14ac:dyDescent="0.2">
      <c r="A140" s="152"/>
      <c r="B140" s="152"/>
      <c r="C140" s="152"/>
      <c r="D140" s="152"/>
      <c r="E140" s="152"/>
      <c r="F140" s="152"/>
      <c r="G140" s="152"/>
    </row>
    <row r="141" spans="1:7" x14ac:dyDescent="0.2">
      <c r="A141" s="152"/>
      <c r="B141" s="152"/>
      <c r="C141" s="152"/>
      <c r="D141" s="152"/>
      <c r="E141" s="152"/>
      <c r="F141" s="152"/>
      <c r="G141" s="152"/>
    </row>
    <row r="143" spans="1:7" x14ac:dyDescent="0.2">
      <c r="A143" s="176" t="s">
        <v>676</v>
      </c>
      <c r="B143" s="176"/>
      <c r="C143" s="176"/>
      <c r="D143" s="176"/>
      <c r="E143" s="176"/>
      <c r="F143" s="176"/>
      <c r="G143" s="176"/>
    </row>
  </sheetData>
  <mergeCells count="27">
    <mergeCell ref="A137:G137"/>
    <mergeCell ref="A138:G141"/>
    <mergeCell ref="A143:G143"/>
    <mergeCell ref="A102:G102"/>
    <mergeCell ref="A103:G106"/>
    <mergeCell ref="A108:G108"/>
    <mergeCell ref="A110:G110"/>
    <mergeCell ref="A111:G114"/>
    <mergeCell ref="A130:G130"/>
    <mergeCell ref="A75:G75"/>
    <mergeCell ref="A76:G79"/>
    <mergeCell ref="A81:G81"/>
    <mergeCell ref="A83:G83"/>
    <mergeCell ref="A84:G87"/>
    <mergeCell ref="A96:G96"/>
    <mergeCell ref="A37:G37"/>
    <mergeCell ref="A44:G44"/>
    <mergeCell ref="A45:G47"/>
    <mergeCell ref="A49:G49"/>
    <mergeCell ref="A52:G52"/>
    <mergeCell ref="A53:G55"/>
    <mergeCell ref="A1:G1"/>
    <mergeCell ref="A2:G2"/>
    <mergeCell ref="A4:G4"/>
    <mergeCell ref="A5:G8"/>
    <mergeCell ref="A10:G10"/>
    <mergeCell ref="A13:G13"/>
  </mergeCells>
  <conditionalFormatting sqref="B58:B73">
    <cfRule type="containsText" dxfId="2" priority="1" operator="containsText" text="Confirmado">
      <formula>NOT(ISERROR(SEARCH("Confirmado",B58)))</formula>
    </cfRule>
  </conditionalFormatting>
  <conditionalFormatting sqref="B58:B73">
    <cfRule type="containsText" dxfId="1" priority="2" operator="containsText" text="Parcial">
      <formula>NOT(ISERROR(SEARCH("Parcial",B58)))</formula>
    </cfRule>
  </conditionalFormatting>
  <conditionalFormatting sqref="B58:B73">
    <cfRule type="containsText" dxfId="0" priority="3" operator="containsText" text="Não">
      <formula>NOT(ISERROR(SEARCH("Não",B58)))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zoomScale="85" zoomScaleNormal="100" zoomScalePageLayoutView="60" workbookViewId="0">
      <selection sqref="A1:XFD1048576"/>
    </sheetView>
  </sheetViews>
  <sheetFormatPr baseColWidth="10" defaultColWidth="26.6640625" defaultRowHeight="79" customHeight="1" x14ac:dyDescent="0.2"/>
  <sheetData>
    <row r="1" spans="1:8" ht="79" customHeight="1" x14ac:dyDescent="0.2">
      <c r="A1" s="116" t="s">
        <v>238</v>
      </c>
      <c r="B1" s="125"/>
      <c r="C1" s="125"/>
      <c r="D1" s="125"/>
      <c r="E1" s="125"/>
      <c r="F1" s="125"/>
      <c r="G1" s="125"/>
      <c r="H1" s="125"/>
    </row>
    <row r="2" spans="1:8" ht="79" customHeight="1" x14ac:dyDescent="0.2">
      <c r="A2" s="6" t="s">
        <v>0</v>
      </c>
      <c r="B2" s="125"/>
      <c r="C2" s="125"/>
      <c r="D2" s="125"/>
      <c r="E2" s="125"/>
      <c r="F2" s="125"/>
      <c r="G2" s="125"/>
      <c r="H2" s="125"/>
    </row>
    <row r="4" spans="1:8" ht="79" customHeight="1" x14ac:dyDescent="0.2">
      <c r="A4" s="7" t="s">
        <v>1</v>
      </c>
    </row>
    <row r="5" spans="1:8" ht="79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 spans="1:8" ht="79" customHeight="1" x14ac:dyDescent="0.2">
      <c r="A6" s="9" t="s">
        <v>8</v>
      </c>
      <c r="B6" s="10">
        <f>'Comparativo de Cenários'!B13</f>
        <v>370581.78332088096</v>
      </c>
      <c r="C6" s="11">
        <f>'Comparativo de Cenários'!C13</f>
        <v>359230.26916995278</v>
      </c>
      <c r="D6" s="12">
        <f t="shared" ref="D6:D11" si="0">B6-C6</f>
        <v>11351.514150928182</v>
      </c>
      <c r="E6" s="13">
        <f>IFERROR(D6/B6, 0)</f>
        <v>3.0631603229938274E-2</v>
      </c>
      <c r="F6" s="14" t="s">
        <v>9</v>
      </c>
    </row>
    <row r="7" spans="1:8" ht="79" customHeight="1" x14ac:dyDescent="0.2">
      <c r="A7" s="9" t="s">
        <v>10</v>
      </c>
      <c r="B7" s="15">
        <f>'Comparativo de Cenários'!B21</f>
        <v>284916.20338667306</v>
      </c>
      <c r="C7" s="16">
        <f>'Comparativo de Cenários'!C21</f>
        <v>275977.23846583191</v>
      </c>
      <c r="D7" s="12">
        <f t="shared" si="0"/>
        <v>8938.9649208411574</v>
      </c>
      <c r="E7" s="13">
        <f>IFERROR(D7/B7, 0)</f>
        <v>3.1374013884038987E-2</v>
      </c>
      <c r="F7" s="14" t="s">
        <v>11</v>
      </c>
    </row>
    <row r="8" spans="1:8" ht="79" customHeight="1" x14ac:dyDescent="0.2">
      <c r="A8" s="17" t="s">
        <v>12</v>
      </c>
      <c r="B8" s="18">
        <f>'Comparativo de Cenários'!B12</f>
        <v>1910349.0930191413</v>
      </c>
      <c r="C8" s="19">
        <f>'Comparativo de Cenários'!C12</f>
        <v>1851832.0375711066</v>
      </c>
      <c r="D8" s="20">
        <f t="shared" si="0"/>
        <v>58517.055448034778</v>
      </c>
      <c r="E8" s="13">
        <f>IFERROR(D8/B8, 0)</f>
        <v>3.063160322993827E-2</v>
      </c>
      <c r="F8" s="14" t="s">
        <v>13</v>
      </c>
    </row>
    <row r="9" spans="1:8" ht="79" customHeight="1" x14ac:dyDescent="0.2">
      <c r="A9" s="9" t="s">
        <v>14</v>
      </c>
      <c r="B9" s="21">
        <f>'Comparativo de Cenários'!B20</f>
        <v>1292404.310063035</v>
      </c>
      <c r="C9" s="22">
        <f>'Comparativo de Cenários'!C20</f>
        <v>1250830.2480714826</v>
      </c>
      <c r="D9" s="20">
        <f t="shared" si="0"/>
        <v>41574.061991552357</v>
      </c>
      <c r="E9" s="13">
        <f>IFERROR(D9/B9, 0)</f>
        <v>3.2168000112538037E-2</v>
      </c>
      <c r="F9" s="14" t="s">
        <v>15</v>
      </c>
    </row>
    <row r="10" spans="1:8" ht="79" customHeight="1" x14ac:dyDescent="0.2">
      <c r="A10" s="9" t="s">
        <v>16</v>
      </c>
      <c r="B10" s="23">
        <f>'Comparativo de Cenários'!B22</f>
        <v>0.42458101693336531</v>
      </c>
      <c r="C10" s="13">
        <f>'Comparativo de Cenários'!C22</f>
        <v>0.37988619232915954</v>
      </c>
      <c r="D10" s="24">
        <f t="shared" si="0"/>
        <v>4.4694824604205763E-2</v>
      </c>
      <c r="E10" s="13">
        <f>B10-C10</f>
        <v>4.4694824604205763E-2</v>
      </c>
      <c r="F10" s="14" t="s">
        <v>17</v>
      </c>
    </row>
    <row r="11" spans="1:8" ht="79" customHeight="1" x14ac:dyDescent="0.2">
      <c r="A11" s="9" t="s">
        <v>18</v>
      </c>
      <c r="B11" s="23">
        <f>'Comparativo de Cenários'!B23</f>
        <v>0.66770453967047971</v>
      </c>
      <c r="C11" s="13">
        <f>'Comparativo de Cenários'!C23</f>
        <v>0.61405781985067953</v>
      </c>
      <c r="D11" s="24">
        <f t="shared" si="0"/>
        <v>5.3646719819800182E-2</v>
      </c>
      <c r="E11" s="13">
        <f>B11-C11</f>
        <v>5.3646719819800182E-2</v>
      </c>
      <c r="F11" s="14" t="s">
        <v>19</v>
      </c>
    </row>
    <row r="12" spans="1:8" ht="79" customHeight="1" x14ac:dyDescent="0.2">
      <c r="A12" s="17" t="s">
        <v>20</v>
      </c>
      <c r="B12" s="18">
        <f>'Comparativo de Cenários'!B11</f>
        <v>200362.78112102492</v>
      </c>
      <c r="C12" s="19">
        <f>'Comparativo de Cenários'!C11</f>
        <v>190036.24192431293</v>
      </c>
      <c r="D12" s="25">
        <f>C12-B12</f>
        <v>-10326.539196711994</v>
      </c>
      <c r="E12" s="13">
        <f>IFERROR(D12/C12, 0)</f>
        <v>-5.4339841138433043E-2</v>
      </c>
      <c r="F12" s="14" t="s">
        <v>21</v>
      </c>
    </row>
    <row r="13" spans="1:8" ht="79" customHeight="1" x14ac:dyDescent="0.2">
      <c r="A13" s="17" t="s">
        <v>22</v>
      </c>
      <c r="B13" s="18">
        <f>'Comparativo de Cenários'!B18</f>
        <v>135550.99580662584</v>
      </c>
      <c r="C13" s="19">
        <f>'Comparativo de Cenários'!C18</f>
        <v>130550.45069404534</v>
      </c>
      <c r="D13" s="25">
        <f>C13-B13</f>
        <v>-5000.5451125804975</v>
      </c>
      <c r="E13" s="13">
        <f>IFERROR(D13/C13, 0)</f>
        <v>-3.8303545380319257E-2</v>
      </c>
      <c r="F13" s="14" t="s">
        <v>23</v>
      </c>
    </row>
    <row r="14" spans="1:8" ht="79" customHeight="1" x14ac:dyDescent="0.2">
      <c r="A14" s="5" t="s">
        <v>240</v>
      </c>
      <c r="B14" s="5"/>
      <c r="C14" s="5"/>
      <c r="D14" s="5"/>
      <c r="E14" s="5"/>
      <c r="F14" s="5"/>
      <c r="G14" s="5"/>
    </row>
    <row r="15" spans="1:8" ht="79" customHeight="1" x14ac:dyDescent="0.2">
      <c r="A15" s="26" t="s">
        <v>2</v>
      </c>
      <c r="B15" s="26" t="s">
        <v>24</v>
      </c>
      <c r="C15" s="26" t="s">
        <v>25</v>
      </c>
      <c r="D15" s="26" t="s">
        <v>26</v>
      </c>
      <c r="E15" s="26" t="s">
        <v>6</v>
      </c>
      <c r="F15" s="26" t="s">
        <v>7</v>
      </c>
      <c r="G15" s="26"/>
    </row>
    <row r="16" spans="1:8" ht="79" customHeight="1" x14ac:dyDescent="0.2">
      <c r="A16" s="27" t="s">
        <v>8</v>
      </c>
      <c r="B16" s="28">
        <f>'Aportes Trimestrais'!B48</f>
        <v>538579.26219076419</v>
      </c>
      <c r="C16" s="28">
        <f>'Aportes Trimestrais'!F48</f>
        <v>724146.45391118992</v>
      </c>
      <c r="D16" s="28">
        <f t="shared" ref="D16:D23" si="1">C16-B16</f>
        <v>185567.19172042573</v>
      </c>
      <c r="E16" s="29">
        <f>(C16-B16)/B16</f>
        <v>0.34454945585093477</v>
      </c>
      <c r="F16" s="126" t="s">
        <v>9</v>
      </c>
      <c r="G16" s="126"/>
      <c r="H16" s="125"/>
    </row>
    <row r="17" spans="1:8" ht="79" customHeight="1" x14ac:dyDescent="0.2">
      <c r="A17" s="30" t="s">
        <v>10</v>
      </c>
      <c r="B17" s="31">
        <f>'Aportes Trimestrais'!C48</f>
        <v>414100.61678514857</v>
      </c>
      <c r="C17" s="31">
        <f>'Aportes Trimestrais'!G48</f>
        <v>556778.75896600797</v>
      </c>
      <c r="D17" s="31">
        <f t="shared" si="1"/>
        <v>142678.1421808594</v>
      </c>
      <c r="E17" s="32">
        <f>(C17-B17)/B17</f>
        <v>0.34454945585093477</v>
      </c>
      <c r="F17" s="127" t="s">
        <v>11</v>
      </c>
      <c r="G17" s="127"/>
      <c r="H17" s="125"/>
    </row>
    <row r="18" spans="1:8" ht="79" customHeight="1" x14ac:dyDescent="0.2">
      <c r="A18" s="27" t="s">
        <v>12</v>
      </c>
      <c r="B18" s="33">
        <f>'Aportes Trimestrais'!B47</f>
        <v>2776376.0965933893</v>
      </c>
      <c r="C18" s="33">
        <f>'Aportes Trimestrais'!F47</f>
        <v>3732974.9699121839</v>
      </c>
      <c r="D18" s="33">
        <f t="shared" si="1"/>
        <v>956598.87331879465</v>
      </c>
      <c r="E18" s="29">
        <f>(C18-B18)/B18</f>
        <v>0.34454945585093477</v>
      </c>
      <c r="F18" s="126" t="s">
        <v>13</v>
      </c>
      <c r="G18" s="126"/>
      <c r="H18" s="125"/>
    </row>
    <row r="19" spans="1:8" ht="79" customHeight="1" x14ac:dyDescent="0.2">
      <c r="A19" s="30" t="s">
        <v>14</v>
      </c>
      <c r="B19" s="34">
        <f>'Aportes Trimestrais'!C47</f>
        <v>1878214.1094529761</v>
      </c>
      <c r="C19" s="34">
        <f>'Aportes Trimestrais'!G47</f>
        <v>2525351.7588365474</v>
      </c>
      <c r="D19" s="34">
        <f t="shared" si="1"/>
        <v>647137.64938357123</v>
      </c>
      <c r="E19" s="32">
        <f>(C19-B19)/B19</f>
        <v>0.34454945585093488</v>
      </c>
      <c r="F19" s="127" t="s">
        <v>15</v>
      </c>
      <c r="G19" s="127"/>
      <c r="H19" s="125"/>
    </row>
    <row r="20" spans="1:8" ht="79" customHeight="1" x14ac:dyDescent="0.2">
      <c r="A20" s="35" t="s">
        <v>16</v>
      </c>
      <c r="B20" s="36">
        <f>'Aportes Trimestrais'!C49</f>
        <v>0.45947174174792998</v>
      </c>
      <c r="C20" s="36">
        <f>'Aportes Trimestrais'!G49</f>
        <v>0.41585538541701805</v>
      </c>
      <c r="D20" s="36">
        <f t="shared" si="1"/>
        <v>-4.3616356330911932E-2</v>
      </c>
      <c r="E20" s="36">
        <f>C20-B20</f>
        <v>-4.3616356330911932E-2</v>
      </c>
      <c r="F20" s="128" t="s">
        <v>17</v>
      </c>
      <c r="G20" s="128"/>
      <c r="H20" s="125"/>
    </row>
    <row r="21" spans="1:8" ht="79" customHeight="1" x14ac:dyDescent="0.2">
      <c r="A21" s="35" t="s">
        <v>18</v>
      </c>
      <c r="B21" s="36">
        <f>'Aportes Trimestrais'!C50</f>
        <v>0.87089197590997858</v>
      </c>
      <c r="C21" s="36">
        <f>'Aportes Trimestrais'!G50</f>
        <v>0.70221481835692112</v>
      </c>
      <c r="D21" s="36">
        <f t="shared" si="1"/>
        <v>-0.16867715755305746</v>
      </c>
      <c r="E21" s="36">
        <f>C21-B21</f>
        <v>-0.16867715755305746</v>
      </c>
      <c r="F21" s="128" t="s">
        <v>19</v>
      </c>
      <c r="G21" s="128"/>
      <c r="H21" s="125"/>
    </row>
    <row r="22" spans="1:8" ht="79" customHeight="1" x14ac:dyDescent="0.2">
      <c r="A22" s="27" t="s">
        <v>20</v>
      </c>
      <c r="B22" s="33">
        <f>'Aportes Trimestrais'!B46</f>
        <v>228068.97292828045</v>
      </c>
      <c r="C22" s="33">
        <f>'Aportes Trimestrais'!F46</f>
        <v>271758.4358668701</v>
      </c>
      <c r="D22" s="33">
        <f t="shared" si="1"/>
        <v>43689.462938589655</v>
      </c>
      <c r="E22" s="29">
        <f>(C22-B22)/B22</f>
        <v>0.19156250136807706</v>
      </c>
      <c r="F22" s="126" t="s">
        <v>27</v>
      </c>
      <c r="G22" s="126"/>
      <c r="H22" s="125"/>
    </row>
    <row r="23" spans="1:8" ht="79" customHeight="1" x14ac:dyDescent="0.2">
      <c r="A23" s="30" t="s">
        <v>22</v>
      </c>
      <c r="B23" s="34">
        <f>'Aportes Trimestrais'!C46</f>
        <v>154288.30532287949</v>
      </c>
      <c r="C23" s="34">
        <f>'Aportes Trimestrais'!G46</f>
        <v>183844.15902237187</v>
      </c>
      <c r="D23" s="34">
        <f t="shared" si="1"/>
        <v>29555.853699492378</v>
      </c>
      <c r="E23" s="32">
        <f>(C23-B23)/B23</f>
        <v>0.19156250136807695</v>
      </c>
      <c r="F23" s="127" t="s">
        <v>28</v>
      </c>
      <c r="G23" s="127"/>
      <c r="H23" s="125"/>
    </row>
    <row r="26" spans="1:8" ht="79" customHeight="1" x14ac:dyDescent="0.2">
      <c r="A26" s="7" t="s">
        <v>241</v>
      </c>
    </row>
    <row r="27" spans="1:8" ht="79" customHeight="1" x14ac:dyDescent="0.2">
      <c r="A27" s="8" t="s">
        <v>29</v>
      </c>
      <c r="B27" s="8" t="s">
        <v>30</v>
      </c>
      <c r="C27" s="8" t="s">
        <v>31</v>
      </c>
      <c r="D27" s="8" t="s">
        <v>32</v>
      </c>
      <c r="E27" s="8" t="s">
        <v>33</v>
      </c>
      <c r="F27" s="8" t="s">
        <v>34</v>
      </c>
      <c r="G27" s="8" t="s">
        <v>35</v>
      </c>
      <c r="H27" s="8" t="s">
        <v>36</v>
      </c>
    </row>
    <row r="28" spans="1:8" ht="79" customHeight="1" x14ac:dyDescent="0.2">
      <c r="A28" s="37" t="s">
        <v>37</v>
      </c>
      <c r="B28" s="38" t="s">
        <v>38</v>
      </c>
      <c r="C28" s="38" t="s">
        <v>39</v>
      </c>
      <c r="D28" s="38" t="s">
        <v>244</v>
      </c>
      <c r="E28" s="39">
        <v>0.6</v>
      </c>
      <c r="F28" s="40">
        <v>120000</v>
      </c>
      <c r="G28" s="41">
        <f>'Cenário 1 - Buy &amp; Hold'!$B$6*F28</f>
        <v>464976</v>
      </c>
      <c r="H28" s="37" t="s">
        <v>40</v>
      </c>
    </row>
    <row r="29" spans="1:8" ht="79" customHeight="1" x14ac:dyDescent="0.2">
      <c r="A29" s="117" t="s">
        <v>41</v>
      </c>
      <c r="B29" s="118" t="s">
        <v>42</v>
      </c>
      <c r="C29" s="118" t="s">
        <v>245</v>
      </c>
      <c r="D29" s="118" t="s">
        <v>246</v>
      </c>
      <c r="E29" s="119">
        <v>0.25</v>
      </c>
      <c r="F29" s="120">
        <v>50000</v>
      </c>
      <c r="G29" s="121">
        <f>'Cenário 1 - Buy &amp; Hold'!$B$6*F29</f>
        <v>193740</v>
      </c>
      <c r="H29" s="117" t="s">
        <v>247</v>
      </c>
    </row>
    <row r="30" spans="1:8" ht="79" customHeight="1" x14ac:dyDescent="0.2">
      <c r="A30" s="37" t="s">
        <v>43</v>
      </c>
      <c r="B30" s="38" t="s">
        <v>44</v>
      </c>
      <c r="C30" s="38" t="s">
        <v>39</v>
      </c>
      <c r="D30" s="38" t="s">
        <v>45</v>
      </c>
      <c r="E30" s="39">
        <v>0.15</v>
      </c>
      <c r="F30" s="40">
        <v>30000</v>
      </c>
      <c r="G30" s="41">
        <f>'Cenário 1 - Buy &amp; Hold'!$B$6*F30</f>
        <v>116244</v>
      </c>
      <c r="H30" s="37" t="s">
        <v>248</v>
      </c>
    </row>
    <row r="31" spans="1:8" ht="79" customHeight="1" x14ac:dyDescent="0.2">
      <c r="A31" s="42" t="s">
        <v>46</v>
      </c>
      <c r="B31" s="43"/>
      <c r="C31" s="43"/>
      <c r="D31" s="43"/>
      <c r="E31" s="44">
        <f>SUM(E28:E30)</f>
        <v>1</v>
      </c>
      <c r="F31" s="45">
        <f>SUM(F28:F30)</f>
        <v>200000</v>
      </c>
      <c r="G31" s="46">
        <f>SUM(G28:G30)</f>
        <v>774960</v>
      </c>
      <c r="H31" s="42" t="s">
        <v>572</v>
      </c>
    </row>
    <row r="33" spans="1:8" ht="79" customHeight="1" x14ac:dyDescent="0.2">
      <c r="A33" s="7" t="s">
        <v>242</v>
      </c>
    </row>
    <row r="34" spans="1:8" ht="79" customHeight="1" x14ac:dyDescent="0.2">
      <c r="A34" s="8" t="s">
        <v>47</v>
      </c>
      <c r="B34" s="8" t="s">
        <v>48</v>
      </c>
      <c r="C34" s="8" t="s">
        <v>49</v>
      </c>
      <c r="D34" s="8" t="s">
        <v>50</v>
      </c>
      <c r="E34" s="8" t="s">
        <v>51</v>
      </c>
      <c r="F34" s="47"/>
      <c r="G34" s="47"/>
      <c r="H34" s="47"/>
    </row>
    <row r="35" spans="1:8" ht="79" customHeight="1" x14ac:dyDescent="0.2">
      <c r="A35" s="17" t="s">
        <v>52</v>
      </c>
      <c r="B35" s="48">
        <v>1</v>
      </c>
      <c r="C35" s="48">
        <v>0.4</v>
      </c>
      <c r="D35" s="48">
        <v>0.25</v>
      </c>
      <c r="E35" s="17" t="s">
        <v>573</v>
      </c>
      <c r="F35" s="49"/>
      <c r="G35" s="49"/>
      <c r="H35" s="49"/>
    </row>
    <row r="36" spans="1:8" ht="79" customHeight="1" x14ac:dyDescent="0.2">
      <c r="A36" s="37" t="s">
        <v>49</v>
      </c>
      <c r="B36" s="50">
        <v>0.4</v>
      </c>
      <c r="C36" s="50">
        <v>1</v>
      </c>
      <c r="D36" s="50">
        <v>0.55000000000000004</v>
      </c>
      <c r="E36" s="37" t="s">
        <v>574</v>
      </c>
      <c r="F36" s="49"/>
      <c r="G36" s="49"/>
      <c r="H36" s="49"/>
    </row>
    <row r="37" spans="1:8" ht="79" customHeight="1" x14ac:dyDescent="0.2">
      <c r="A37" s="17" t="s">
        <v>53</v>
      </c>
      <c r="B37" s="48">
        <v>0.25</v>
      </c>
      <c r="C37" s="48">
        <v>0.55000000000000004</v>
      </c>
      <c r="D37" s="48">
        <v>1</v>
      </c>
      <c r="E37" s="17" t="s">
        <v>575</v>
      </c>
      <c r="F37" s="49"/>
      <c r="G37" s="49"/>
      <c r="H37" s="49"/>
    </row>
    <row r="39" spans="1:8" ht="79" customHeight="1" x14ac:dyDescent="0.2">
      <c r="A39" s="51" t="s">
        <v>243</v>
      </c>
    </row>
    <row r="40" spans="1:8" ht="79" customHeight="1" x14ac:dyDescent="0.2">
      <c r="A40" s="52" t="s">
        <v>54</v>
      </c>
      <c r="B40" s="52" t="s">
        <v>55</v>
      </c>
      <c r="C40" s="52" t="s">
        <v>56</v>
      </c>
    </row>
    <row r="41" spans="1:8" ht="79" customHeight="1" x14ac:dyDescent="0.2">
      <c r="A41" s="53" t="s">
        <v>57</v>
      </c>
      <c r="B41" s="54">
        <f>B6</f>
        <v>370581.78332088096</v>
      </c>
      <c r="C41" s="54">
        <f>B7</f>
        <v>284916.20338667306</v>
      </c>
    </row>
    <row r="42" spans="1:8" ht="79" customHeight="1" x14ac:dyDescent="0.2">
      <c r="A42" s="53" t="s">
        <v>58</v>
      </c>
      <c r="B42" s="54">
        <f>C6</f>
        <v>359230.26916995278</v>
      </c>
      <c r="C42" s="54">
        <f>C7</f>
        <v>275977.23846583191</v>
      </c>
    </row>
    <row r="44" spans="1:8" ht="79" customHeight="1" x14ac:dyDescent="0.2">
      <c r="A44" s="52" t="s">
        <v>54</v>
      </c>
      <c r="B44" s="52" t="s">
        <v>59</v>
      </c>
      <c r="C44" s="52" t="s">
        <v>60</v>
      </c>
    </row>
    <row r="45" spans="1:8" ht="79" customHeight="1" x14ac:dyDescent="0.2">
      <c r="A45" s="53" t="s">
        <v>57</v>
      </c>
      <c r="B45" s="55">
        <f>B12</f>
        <v>200362.78112102492</v>
      </c>
      <c r="C45" s="55">
        <f>B13</f>
        <v>135550.99580662584</v>
      </c>
    </row>
    <row r="46" spans="1:8" ht="79" customHeight="1" x14ac:dyDescent="0.2">
      <c r="A46" s="53" t="s">
        <v>58</v>
      </c>
      <c r="B46" s="55">
        <f>C12</f>
        <v>190036.24192431293</v>
      </c>
      <c r="C46" s="55">
        <f>C13</f>
        <v>130550.45069404534</v>
      </c>
    </row>
    <row r="48" spans="1:8" ht="79" customHeight="1" x14ac:dyDescent="0.2">
      <c r="A48" s="56" t="s">
        <v>61</v>
      </c>
    </row>
  </sheetData>
  <mergeCells count="9">
    <mergeCell ref="F20:G20"/>
    <mergeCell ref="F21:G21"/>
    <mergeCell ref="F22:G22"/>
    <mergeCell ref="F23:G23"/>
    <mergeCell ref="A14:G14"/>
    <mergeCell ref="F16:G16"/>
    <mergeCell ref="F17:G17"/>
    <mergeCell ref="F18:G18"/>
    <mergeCell ref="F19:G1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zoomScaleNormal="100" zoomScalePageLayoutView="60" workbookViewId="0"/>
  </sheetViews>
  <sheetFormatPr baseColWidth="10" defaultColWidth="8.6640625" defaultRowHeight="15" x14ac:dyDescent="0.2"/>
  <cols>
    <col min="1" max="1" width="25.83203125" customWidth="1"/>
    <col min="2" max="2" width="12.5" customWidth="1"/>
    <col min="3" max="4" width="13.6640625" customWidth="1"/>
    <col min="5" max="5" width="24.1640625" customWidth="1"/>
    <col min="6" max="6" width="15" customWidth="1"/>
    <col min="7" max="7" width="14.1640625" customWidth="1"/>
    <col min="8" max="8" width="15.83203125" customWidth="1"/>
    <col min="9" max="9" width="19.1640625" customWidth="1"/>
    <col min="10" max="12" width="13.6640625" customWidth="1"/>
    <col min="13" max="13" width="15.83203125" customWidth="1"/>
    <col min="14" max="14" width="14.1640625" customWidth="1"/>
    <col min="15" max="15" width="15.83203125" customWidth="1"/>
    <col min="16" max="16" width="19.1640625" customWidth="1"/>
  </cols>
  <sheetData>
    <row r="1" spans="1:16" ht="132" x14ac:dyDescent="0.25">
      <c r="A1" s="129" t="s">
        <v>62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80" x14ac:dyDescent="0.2">
      <c r="A2" s="130" t="s">
        <v>63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4" spans="1:16" x14ac:dyDescent="0.2">
      <c r="C4" s="4" t="s">
        <v>64</v>
      </c>
      <c r="D4" s="4"/>
      <c r="E4" s="4"/>
      <c r="F4" s="4"/>
      <c r="G4" s="4"/>
      <c r="H4" s="4"/>
      <c r="I4" s="4"/>
      <c r="J4" s="3" t="s">
        <v>65</v>
      </c>
      <c r="K4" s="3"/>
      <c r="L4" s="3"/>
      <c r="M4" s="3"/>
      <c r="N4" s="3"/>
      <c r="O4" s="3"/>
      <c r="P4" s="3"/>
    </row>
    <row r="5" spans="1:16" ht="16" x14ac:dyDescent="0.2">
      <c r="A5" s="57" t="s">
        <v>66</v>
      </c>
      <c r="B5" s="57" t="s">
        <v>67</v>
      </c>
      <c r="C5" s="26" t="s">
        <v>68</v>
      </c>
      <c r="D5" s="26" t="s">
        <v>69</v>
      </c>
      <c r="E5" s="26" t="s">
        <v>70</v>
      </c>
      <c r="F5" s="26" t="s">
        <v>71</v>
      </c>
      <c r="G5" s="26" t="s">
        <v>72</v>
      </c>
      <c r="H5" s="26" t="s">
        <v>73</v>
      </c>
      <c r="I5" s="26" t="s">
        <v>74</v>
      </c>
      <c r="J5" s="57" t="s">
        <v>68</v>
      </c>
      <c r="K5" s="57" t="s">
        <v>69</v>
      </c>
      <c r="L5" s="57" t="s">
        <v>70</v>
      </c>
      <c r="M5" s="57" t="s">
        <v>71</v>
      </c>
      <c r="N5" s="57" t="s">
        <v>72</v>
      </c>
      <c r="O5" s="57" t="s">
        <v>73</v>
      </c>
      <c r="P5" s="57" t="s">
        <v>74</v>
      </c>
    </row>
    <row r="6" spans="1:16" x14ac:dyDescent="0.2">
      <c r="A6" s="27" t="s">
        <v>75</v>
      </c>
      <c r="B6" s="58">
        <v>3.8748</v>
      </c>
      <c r="C6" s="59">
        <v>120000</v>
      </c>
      <c r="D6" s="59">
        <v>50000</v>
      </c>
      <c r="E6" s="59">
        <v>30000</v>
      </c>
      <c r="F6" s="28">
        <f t="shared" ref="F6:F36" si="0">SUM(C6:E6)</f>
        <v>200000</v>
      </c>
      <c r="G6" s="59">
        <v>0</v>
      </c>
      <c r="H6" s="33">
        <f t="shared" ref="H6:H36" si="1">F6*B6</f>
        <v>774960</v>
      </c>
      <c r="I6" s="33">
        <v>774960</v>
      </c>
      <c r="J6" s="59">
        <v>120000</v>
      </c>
      <c r="K6" s="59">
        <v>50000</v>
      </c>
      <c r="L6" s="59">
        <v>30000</v>
      </c>
      <c r="M6" s="28">
        <f t="shared" ref="M6:M36" si="2">SUM(J6:L6)</f>
        <v>200000</v>
      </c>
      <c r="N6" s="59">
        <v>0</v>
      </c>
      <c r="O6" s="33">
        <f t="shared" ref="O6:O36" si="3">M6*B6</f>
        <v>774960</v>
      </c>
      <c r="P6" s="33">
        <v>774960</v>
      </c>
    </row>
    <row r="7" spans="1:16" x14ac:dyDescent="0.2">
      <c r="A7" s="30" t="s">
        <v>76</v>
      </c>
      <c r="B7" s="60">
        <v>3.9137749999999998</v>
      </c>
      <c r="C7" s="61">
        <v>128341.64765661</v>
      </c>
      <c r="D7" s="61">
        <v>53476.457610594996</v>
      </c>
      <c r="E7" s="61">
        <v>32085.945287464601</v>
      </c>
      <c r="F7" s="31">
        <f t="shared" si="0"/>
        <v>213904.05055466958</v>
      </c>
      <c r="G7" s="61">
        <v>5000</v>
      </c>
      <c r="H7" s="34">
        <f t="shared" si="1"/>
        <v>837172.32545960194</v>
      </c>
      <c r="I7" s="34">
        <v>794528.87499999895</v>
      </c>
      <c r="J7" s="61">
        <v>131341.64765661</v>
      </c>
      <c r="K7" s="61">
        <v>54726.457610594996</v>
      </c>
      <c r="L7" s="61">
        <v>32835.945287464601</v>
      </c>
      <c r="M7" s="31">
        <f t="shared" si="2"/>
        <v>218904.05055466958</v>
      </c>
      <c r="N7" s="61">
        <v>10000</v>
      </c>
      <c r="O7" s="34">
        <f t="shared" si="3"/>
        <v>856741.20045960194</v>
      </c>
      <c r="P7" s="34">
        <v>814097.75000005402</v>
      </c>
    </row>
    <row r="8" spans="1:16" x14ac:dyDescent="0.2">
      <c r="A8" s="27" t="s">
        <v>77</v>
      </c>
      <c r="B8" s="58">
        <v>3.95275</v>
      </c>
      <c r="C8" s="59">
        <v>137055.95640192501</v>
      </c>
      <c r="D8" s="59">
        <v>57106.727715418303</v>
      </c>
      <c r="E8" s="59">
        <v>34264.397081904499</v>
      </c>
      <c r="F8" s="28">
        <f t="shared" si="0"/>
        <v>228427.0811992478</v>
      </c>
      <c r="G8" s="59">
        <v>5000</v>
      </c>
      <c r="H8" s="33">
        <f t="shared" si="1"/>
        <v>902915.14521032677</v>
      </c>
      <c r="I8" s="33">
        <v>814292.624999983</v>
      </c>
      <c r="J8" s="59">
        <v>143190.17259333999</v>
      </c>
      <c r="K8" s="59">
        <v>59662.189155683198</v>
      </c>
      <c r="L8" s="59">
        <v>35797.320714091104</v>
      </c>
      <c r="M8" s="28">
        <f t="shared" si="2"/>
        <v>238649.6824631143</v>
      </c>
      <c r="N8" s="59">
        <v>10000</v>
      </c>
      <c r="O8" s="33">
        <f t="shared" si="3"/>
        <v>943322.53235607501</v>
      </c>
      <c r="P8" s="33">
        <v>853625.250000022</v>
      </c>
    </row>
    <row r="9" spans="1:16" x14ac:dyDescent="0.2">
      <c r="A9" s="30" t="s">
        <v>78</v>
      </c>
      <c r="B9" s="60">
        <v>3.9917250000000002</v>
      </c>
      <c r="C9" s="61">
        <v>146157.56119736901</v>
      </c>
      <c r="D9" s="61">
        <v>60898.943344577201</v>
      </c>
      <c r="E9" s="61">
        <v>36540.196094099803</v>
      </c>
      <c r="F9" s="31">
        <f t="shared" si="0"/>
        <v>243596.70063604604</v>
      </c>
      <c r="G9" s="61">
        <v>5000</v>
      </c>
      <c r="H9" s="34">
        <f t="shared" si="1"/>
        <v>972371.03984642087</v>
      </c>
      <c r="I9" s="34">
        <v>834251.25000000396</v>
      </c>
      <c r="J9" s="61">
        <v>155564.36189269001</v>
      </c>
      <c r="K9" s="61">
        <v>64818.4573678905</v>
      </c>
      <c r="L9" s="61">
        <v>38891.622110895602</v>
      </c>
      <c r="M9" s="31">
        <f t="shared" si="2"/>
        <v>259274.44137147613</v>
      </c>
      <c r="N9" s="61">
        <v>10000</v>
      </c>
      <c r="O9" s="34">
        <f t="shared" si="3"/>
        <v>1034952.2694835556</v>
      </c>
      <c r="P9" s="34">
        <v>893542.50000012701</v>
      </c>
    </row>
    <row r="10" spans="1:16" x14ac:dyDescent="0.2">
      <c r="A10" s="27" t="s">
        <v>79</v>
      </c>
      <c r="B10" s="58">
        <v>4.0307000000000004</v>
      </c>
      <c r="C10" s="59">
        <v>155664.98591334399</v>
      </c>
      <c r="D10" s="59">
        <v>64860.4031911067</v>
      </c>
      <c r="E10" s="59">
        <v>38916.279356146602</v>
      </c>
      <c r="F10" s="28">
        <f t="shared" si="0"/>
        <v>259441.66846059731</v>
      </c>
      <c r="G10" s="59">
        <v>5000</v>
      </c>
      <c r="H10" s="33">
        <f t="shared" si="1"/>
        <v>1045731.5330641296</v>
      </c>
      <c r="I10" s="33">
        <v>854404.75000001898</v>
      </c>
      <c r="J10" s="59">
        <v>168490.1437407</v>
      </c>
      <c r="K10" s="59">
        <v>70204.754392157498</v>
      </c>
      <c r="L10" s="59">
        <v>42122.4944622607</v>
      </c>
      <c r="M10" s="28">
        <f t="shared" si="2"/>
        <v>280817.3925951182</v>
      </c>
      <c r="N10" s="59">
        <v>10000</v>
      </c>
      <c r="O10" s="33">
        <f t="shared" si="3"/>
        <v>1131890.664333143</v>
      </c>
      <c r="P10" s="33">
        <v>933849.50000015704</v>
      </c>
    </row>
    <row r="11" spans="1:16" x14ac:dyDescent="0.2">
      <c r="A11" s="30" t="s">
        <v>80</v>
      </c>
      <c r="B11" s="60">
        <v>4.3221999999999996</v>
      </c>
      <c r="C11" s="61">
        <v>163586.01987691899</v>
      </c>
      <c r="D11" s="61">
        <v>68160.879454090493</v>
      </c>
      <c r="E11" s="61">
        <v>40897.025822239601</v>
      </c>
      <c r="F11" s="31">
        <f t="shared" si="0"/>
        <v>272643.92515324906</v>
      </c>
      <c r="G11" s="61">
        <v>5000</v>
      </c>
      <c r="H11" s="34">
        <f t="shared" si="1"/>
        <v>1178421.573297373</v>
      </c>
      <c r="I11" s="34">
        <v>876015.74999999499</v>
      </c>
      <c r="J11" s="61">
        <v>179816.72748876299</v>
      </c>
      <c r="K11" s="61">
        <v>74924.499639366593</v>
      </c>
      <c r="L11" s="61">
        <v>44954.2149672581</v>
      </c>
      <c r="M11" s="31">
        <f t="shared" si="2"/>
        <v>299695.44209538767</v>
      </c>
      <c r="N11" s="61">
        <v>10000</v>
      </c>
      <c r="O11" s="34">
        <f t="shared" si="3"/>
        <v>1295343.6398246845</v>
      </c>
      <c r="P11" s="34">
        <v>977071.50000039197</v>
      </c>
    </row>
    <row r="12" spans="1:16" x14ac:dyDescent="0.2">
      <c r="A12" s="27" t="s">
        <v>81</v>
      </c>
      <c r="B12" s="58">
        <v>4.6136999999999997</v>
      </c>
      <c r="C12" s="59">
        <v>171758.02566790199</v>
      </c>
      <c r="D12" s="59">
        <v>71565.598286207707</v>
      </c>
      <c r="E12" s="59">
        <v>42939.938719553502</v>
      </c>
      <c r="F12" s="28">
        <f t="shared" si="0"/>
        <v>286263.5626736632</v>
      </c>
      <c r="G12" s="59">
        <v>5000</v>
      </c>
      <c r="H12" s="33">
        <f t="shared" si="1"/>
        <v>1320734.1991074798</v>
      </c>
      <c r="I12" s="33">
        <v>899084.24999993003</v>
      </c>
      <c r="J12" s="59">
        <v>191501.54202364499</v>
      </c>
      <c r="K12" s="59">
        <v>79793.003457222003</v>
      </c>
      <c r="L12" s="59">
        <v>47875.7732244125</v>
      </c>
      <c r="M12" s="28">
        <f t="shared" si="2"/>
        <v>319170.3187052795</v>
      </c>
      <c r="N12" s="59">
        <v>10000</v>
      </c>
      <c r="O12" s="33">
        <f t="shared" si="3"/>
        <v>1472556.0994105479</v>
      </c>
      <c r="P12" s="33">
        <v>1023208.50000026</v>
      </c>
    </row>
    <row r="13" spans="1:16" x14ac:dyDescent="0.2">
      <c r="A13" s="30" t="s">
        <v>82</v>
      </c>
      <c r="B13" s="60">
        <v>4.9051999999999998</v>
      </c>
      <c r="C13" s="61">
        <v>180188.602714037</v>
      </c>
      <c r="D13" s="61">
        <v>75078.315165401596</v>
      </c>
      <c r="E13" s="61">
        <v>45046.8706761793</v>
      </c>
      <c r="F13" s="31">
        <f t="shared" si="0"/>
        <v>300313.78855561791</v>
      </c>
      <c r="G13" s="61">
        <v>5000</v>
      </c>
      <c r="H13" s="34">
        <f t="shared" si="1"/>
        <v>1473099.1956230169</v>
      </c>
      <c r="I13" s="34">
        <v>923610.24999991804</v>
      </c>
      <c r="J13" s="61">
        <v>203556.28932372399</v>
      </c>
      <c r="K13" s="61">
        <v>84815.198029702704</v>
      </c>
      <c r="L13" s="61">
        <v>50889.4013808749</v>
      </c>
      <c r="M13" s="31">
        <f t="shared" si="2"/>
        <v>339260.88873430161</v>
      </c>
      <c r="N13" s="61">
        <v>10000</v>
      </c>
      <c r="O13" s="34">
        <f t="shared" si="3"/>
        <v>1664142.5114194963</v>
      </c>
      <c r="P13" s="34">
        <v>1072260.5000004</v>
      </c>
    </row>
    <row r="14" spans="1:16" x14ac:dyDescent="0.2">
      <c r="A14" s="27" t="s">
        <v>83</v>
      </c>
      <c r="B14" s="58">
        <v>5.1966999999999999</v>
      </c>
      <c r="C14" s="59">
        <v>188884.64111376801</v>
      </c>
      <c r="D14" s="59">
        <v>78701.8848393925</v>
      </c>
      <c r="E14" s="59">
        <v>47221.699729463697</v>
      </c>
      <c r="F14" s="28">
        <f t="shared" si="0"/>
        <v>314808.22568262415</v>
      </c>
      <c r="G14" s="59">
        <v>5000</v>
      </c>
      <c r="H14" s="33">
        <f t="shared" si="1"/>
        <v>1635963.9064048929</v>
      </c>
      <c r="I14" s="33">
        <v>949593.74999984796</v>
      </c>
      <c r="J14" s="59">
        <v>215991.118956647</v>
      </c>
      <c r="K14" s="59">
        <v>89997.145914820503</v>
      </c>
      <c r="L14" s="59">
        <v>53998.362198250397</v>
      </c>
      <c r="M14" s="28">
        <f t="shared" si="2"/>
        <v>359986.62706971786</v>
      </c>
      <c r="N14" s="59">
        <v>10000</v>
      </c>
      <c r="O14" s="33">
        <f t="shared" si="3"/>
        <v>1870742.5048932028</v>
      </c>
      <c r="P14" s="33">
        <v>1124227.50000018</v>
      </c>
    </row>
    <row r="15" spans="1:16" x14ac:dyDescent="0.2">
      <c r="A15" s="30" t="s">
        <v>84</v>
      </c>
      <c r="B15" s="60">
        <v>5.2926500000000001</v>
      </c>
      <c r="C15" s="61">
        <v>197390.59391316399</v>
      </c>
      <c r="D15" s="61">
        <v>82246.744190709302</v>
      </c>
      <c r="E15" s="61">
        <v>49347.548926542797</v>
      </c>
      <c r="F15" s="31">
        <f t="shared" si="0"/>
        <v>328984.88703041611</v>
      </c>
      <c r="G15" s="61">
        <v>5000</v>
      </c>
      <c r="H15" s="34">
        <f t="shared" si="1"/>
        <v>1741201.8623415318</v>
      </c>
      <c r="I15" s="34">
        <v>976056.99999986903</v>
      </c>
      <c r="J15" s="61">
        <v>228288.10938656001</v>
      </c>
      <c r="K15" s="61">
        <v>95119.750189593004</v>
      </c>
      <c r="L15" s="61">
        <v>57072.367528701099</v>
      </c>
      <c r="M15" s="31">
        <f t="shared" si="2"/>
        <v>380480.22710485407</v>
      </c>
      <c r="N15" s="61">
        <v>10000</v>
      </c>
      <c r="O15" s="34">
        <f t="shared" si="3"/>
        <v>2013748.6739865059</v>
      </c>
      <c r="P15" s="34">
        <v>1177154.0000000901</v>
      </c>
    </row>
    <row r="16" spans="1:16" x14ac:dyDescent="0.2">
      <c r="A16" s="27" t="s">
        <v>85</v>
      </c>
      <c r="B16" s="58">
        <v>5.3886000000000003</v>
      </c>
      <c r="C16" s="59">
        <v>206144.27092234499</v>
      </c>
      <c r="D16" s="59">
        <v>85893.620262836906</v>
      </c>
      <c r="E16" s="59">
        <v>51536.918266839901</v>
      </c>
      <c r="F16" s="28">
        <f t="shared" si="0"/>
        <v>343574.80945202184</v>
      </c>
      <c r="G16" s="59">
        <v>5000</v>
      </c>
      <c r="H16" s="33">
        <f t="shared" si="1"/>
        <v>1851387.2182131649</v>
      </c>
      <c r="I16" s="33">
        <v>1002999.9999999</v>
      </c>
      <c r="J16" s="59">
        <v>240942.16156580701</v>
      </c>
      <c r="K16" s="59">
        <v>100393.522771476</v>
      </c>
      <c r="L16" s="59">
        <v>60235.556889867403</v>
      </c>
      <c r="M16" s="28">
        <f t="shared" si="2"/>
        <v>401571.24122715043</v>
      </c>
      <c r="N16" s="59">
        <v>10000</v>
      </c>
      <c r="O16" s="33">
        <f t="shared" si="3"/>
        <v>2163906.790476623</v>
      </c>
      <c r="P16" s="33">
        <v>1231039.99999999</v>
      </c>
    </row>
    <row r="17" spans="1:16" x14ac:dyDescent="0.2">
      <c r="A17" s="30" t="s">
        <v>86</v>
      </c>
      <c r="B17" s="60">
        <v>5.4845499999999996</v>
      </c>
      <c r="C17" s="61">
        <v>215153.41072823401</v>
      </c>
      <c r="D17" s="61">
        <v>89648.010033443003</v>
      </c>
      <c r="E17" s="61">
        <v>53788.584253046203</v>
      </c>
      <c r="F17" s="31">
        <f t="shared" si="0"/>
        <v>358590.00501472323</v>
      </c>
      <c r="G17" s="61">
        <v>5000</v>
      </c>
      <c r="H17" s="34">
        <f t="shared" si="1"/>
        <v>1966704.8120035001</v>
      </c>
      <c r="I17" s="34">
        <v>1030422.74999987</v>
      </c>
      <c r="J17" s="61">
        <v>253965.75374996901</v>
      </c>
      <c r="K17" s="61">
        <v>105819.681880955</v>
      </c>
      <c r="L17" s="61">
        <v>63491.616485371698</v>
      </c>
      <c r="M17" s="31">
        <f t="shared" si="2"/>
        <v>423277.05211629573</v>
      </c>
      <c r="N17" s="61">
        <v>10000</v>
      </c>
      <c r="O17" s="34">
        <f t="shared" si="3"/>
        <v>2321484.1561844298</v>
      </c>
      <c r="P17" s="34">
        <v>1285885.5000000801</v>
      </c>
    </row>
    <row r="18" spans="1:16" x14ac:dyDescent="0.2">
      <c r="A18" s="27" t="s">
        <v>87</v>
      </c>
      <c r="B18" s="58">
        <v>5.5804999999999998</v>
      </c>
      <c r="C18" s="59">
        <v>224480.087377452</v>
      </c>
      <c r="D18" s="59">
        <v>93483.491142000101</v>
      </c>
      <c r="E18" s="59">
        <v>56079.327692760897</v>
      </c>
      <c r="F18" s="28">
        <f t="shared" si="0"/>
        <v>374042.90621221304</v>
      </c>
      <c r="G18" s="59">
        <v>5000</v>
      </c>
      <c r="H18" s="33">
        <f t="shared" si="1"/>
        <v>2087346.4381172548</v>
      </c>
      <c r="I18" s="33">
        <v>1058325.2499998501</v>
      </c>
      <c r="J18" s="59">
        <v>267368.90511402901</v>
      </c>
      <c r="K18" s="59">
        <v>111404.46361449199</v>
      </c>
      <c r="L18" s="59">
        <v>66842.219548831301</v>
      </c>
      <c r="M18" s="28">
        <f t="shared" si="2"/>
        <v>445615.58827735228</v>
      </c>
      <c r="N18" s="59">
        <v>10000</v>
      </c>
      <c r="O18" s="33">
        <f t="shared" si="3"/>
        <v>2486757.7903817641</v>
      </c>
      <c r="P18" s="33">
        <v>1341690.5000000901</v>
      </c>
    </row>
    <row r="19" spans="1:16" x14ac:dyDescent="0.2">
      <c r="A19" s="30" t="s">
        <v>88</v>
      </c>
      <c r="B19" s="60">
        <v>5.4897999999999998</v>
      </c>
      <c r="C19" s="61">
        <v>218079.170785205</v>
      </c>
      <c r="D19" s="61">
        <v>90852.551169307102</v>
      </c>
      <c r="E19" s="61">
        <v>54575.900365444897</v>
      </c>
      <c r="F19" s="31">
        <f t="shared" si="0"/>
        <v>363507.62231995701</v>
      </c>
      <c r="G19" s="61">
        <v>5000</v>
      </c>
      <c r="H19" s="34">
        <f t="shared" si="1"/>
        <v>1995584.1450121</v>
      </c>
      <c r="I19" s="34">
        <v>1085774.2499997499</v>
      </c>
      <c r="J19" s="61">
        <v>262265.36570052902</v>
      </c>
      <c r="K19" s="61">
        <v>109277.233198688</v>
      </c>
      <c r="L19" s="61">
        <v>65566.2505002947</v>
      </c>
      <c r="M19" s="31">
        <f t="shared" si="2"/>
        <v>437108.8493995117</v>
      </c>
      <c r="N19" s="61">
        <v>10000</v>
      </c>
      <c r="O19" s="34">
        <f t="shared" si="3"/>
        <v>2399640.1614334392</v>
      </c>
      <c r="P19" s="34">
        <v>1396588.4999999001</v>
      </c>
    </row>
    <row r="20" spans="1:16" x14ac:dyDescent="0.2">
      <c r="A20" s="27" t="s">
        <v>89</v>
      </c>
      <c r="B20" s="58">
        <v>5.3990999999999998</v>
      </c>
      <c r="C20" s="59">
        <v>211996.37251025601</v>
      </c>
      <c r="D20" s="59">
        <v>88302.444948073506</v>
      </c>
      <c r="E20" s="59">
        <v>53112.778331032903</v>
      </c>
      <c r="F20" s="28">
        <f t="shared" si="0"/>
        <v>353411.59578936239</v>
      </c>
      <c r="G20" s="59">
        <v>5000</v>
      </c>
      <c r="H20" s="33">
        <f t="shared" si="1"/>
        <v>1908104.5468263463</v>
      </c>
      <c r="I20" s="33">
        <v>1112769.7499999199</v>
      </c>
      <c r="J20" s="59">
        <v>257372.88522854299</v>
      </c>
      <c r="K20" s="59">
        <v>107239.020225158</v>
      </c>
      <c r="L20" s="59">
        <v>64343.488829330199</v>
      </c>
      <c r="M20" s="28">
        <f t="shared" si="2"/>
        <v>428955.39428303117</v>
      </c>
      <c r="N20" s="59">
        <v>10000</v>
      </c>
      <c r="O20" s="33">
        <f t="shared" si="3"/>
        <v>2315973.0692735133</v>
      </c>
      <c r="P20" s="33">
        <v>1450579.50000016</v>
      </c>
    </row>
    <row r="21" spans="1:16" x14ac:dyDescent="0.2">
      <c r="A21" s="30" t="s">
        <v>90</v>
      </c>
      <c r="B21" s="60">
        <v>5.3083999999999998</v>
      </c>
      <c r="C21" s="61">
        <v>206177.230324009</v>
      </c>
      <c r="D21" s="61">
        <v>85869.473849022907</v>
      </c>
      <c r="E21" s="61">
        <v>51688.881047348797</v>
      </c>
      <c r="F21" s="31">
        <f t="shared" si="0"/>
        <v>343735.58522038069</v>
      </c>
      <c r="G21" s="61">
        <v>5000</v>
      </c>
      <c r="H21" s="34">
        <f t="shared" si="1"/>
        <v>1824685.9805838687</v>
      </c>
      <c r="I21" s="34">
        <v>1139311.74999982</v>
      </c>
      <c r="J21" s="61">
        <v>252684.20511997701</v>
      </c>
      <c r="K21" s="61">
        <v>105284.852852668</v>
      </c>
      <c r="L21" s="61">
        <v>63171.508102548803</v>
      </c>
      <c r="M21" s="31">
        <f t="shared" si="2"/>
        <v>421140.56607519381</v>
      </c>
      <c r="N21" s="61">
        <v>10000</v>
      </c>
      <c r="O21" s="34">
        <f t="shared" si="3"/>
        <v>2235582.5809535589</v>
      </c>
      <c r="P21" s="34">
        <v>1503663.49999996</v>
      </c>
    </row>
    <row r="22" spans="1:16" x14ac:dyDescent="0.2">
      <c r="A22" s="27" t="s">
        <v>91</v>
      </c>
      <c r="B22" s="58">
        <v>5.2176999999999998</v>
      </c>
      <c r="C22" s="59">
        <v>200609.92914951601</v>
      </c>
      <c r="D22" s="59">
        <v>83548.727324094099</v>
      </c>
      <c r="E22" s="59">
        <v>50303.156940406501</v>
      </c>
      <c r="F22" s="28">
        <f t="shared" si="0"/>
        <v>334461.81341401656</v>
      </c>
      <c r="G22" s="59">
        <v>5000</v>
      </c>
      <c r="H22" s="33">
        <f t="shared" si="1"/>
        <v>1745121.4038503142</v>
      </c>
      <c r="I22" s="33">
        <v>1165400.24999997</v>
      </c>
      <c r="J22" s="59">
        <v>248189.419601929</v>
      </c>
      <c r="K22" s="59">
        <v>103412.92522455999</v>
      </c>
      <c r="L22" s="59">
        <v>62047.946936668501</v>
      </c>
      <c r="M22" s="28">
        <f t="shared" si="2"/>
        <v>413650.29176315747</v>
      </c>
      <c r="N22" s="59">
        <v>10000</v>
      </c>
      <c r="O22" s="33">
        <f t="shared" si="3"/>
        <v>2158303.1273326268</v>
      </c>
      <c r="P22" s="33">
        <v>1555840.5000002</v>
      </c>
    </row>
    <row r="23" spans="1:16" x14ac:dyDescent="0.2">
      <c r="A23" s="30" t="s">
        <v>92</v>
      </c>
      <c r="B23" s="60">
        <v>5.1235999999999997</v>
      </c>
      <c r="C23" s="61">
        <v>210921.19635930401</v>
      </c>
      <c r="D23" s="61">
        <v>87834.6778610287</v>
      </c>
      <c r="E23" s="61">
        <v>52690.203977852798</v>
      </c>
      <c r="F23" s="31">
        <f t="shared" si="0"/>
        <v>351446.07819818554</v>
      </c>
      <c r="G23" s="61">
        <v>5000</v>
      </c>
      <c r="H23" s="34">
        <f t="shared" si="1"/>
        <v>1800669.1262562233</v>
      </c>
      <c r="I23" s="34">
        <v>1191018.2499999299</v>
      </c>
      <c r="J23" s="61">
        <v>263084.252900297</v>
      </c>
      <c r="K23" s="61">
        <v>109618.78194140601</v>
      </c>
      <c r="L23" s="61">
        <v>65771.132710591599</v>
      </c>
      <c r="M23" s="31">
        <f t="shared" si="2"/>
        <v>438474.16755229462</v>
      </c>
      <c r="N23" s="61">
        <v>10000</v>
      </c>
      <c r="O23" s="34">
        <f t="shared" si="3"/>
        <v>2246566.2448709365</v>
      </c>
      <c r="P23" s="34">
        <v>1607076.5000002501</v>
      </c>
    </row>
    <row r="24" spans="1:16" x14ac:dyDescent="0.2">
      <c r="A24" s="27" t="s">
        <v>93</v>
      </c>
      <c r="B24" s="58">
        <v>5.0294999999999996</v>
      </c>
      <c r="C24" s="59">
        <v>221762.45842987701</v>
      </c>
      <c r="D24" s="59">
        <v>92091.818807382297</v>
      </c>
      <c r="E24" s="59">
        <v>55188.537553351402</v>
      </c>
      <c r="F24" s="28">
        <f t="shared" si="0"/>
        <v>369042.81479061069</v>
      </c>
      <c r="G24" s="59">
        <v>5000</v>
      </c>
      <c r="H24" s="33">
        <f t="shared" si="1"/>
        <v>1856100.8369893762</v>
      </c>
      <c r="I24" s="33">
        <v>1216165.7499999499</v>
      </c>
      <c r="J24" s="59">
        <v>278512.67445661302</v>
      </c>
      <c r="K24" s="59">
        <v>116047.28045224</v>
      </c>
      <c r="L24" s="59">
        <v>69627.714974705304</v>
      </c>
      <c r="M24" s="28">
        <f t="shared" si="2"/>
        <v>464187.66988355835</v>
      </c>
      <c r="N24" s="59">
        <v>10000</v>
      </c>
      <c r="O24" s="33">
        <f t="shared" si="3"/>
        <v>2334631.8856793568</v>
      </c>
      <c r="P24" s="33">
        <v>1657371.50000018</v>
      </c>
    </row>
    <row r="25" spans="1:16" x14ac:dyDescent="0.2">
      <c r="A25" s="30" t="s">
        <v>94</v>
      </c>
      <c r="B25" s="60">
        <v>4.9353999999999996</v>
      </c>
      <c r="C25" s="61">
        <v>233160.95687740701</v>
      </c>
      <c r="D25" s="61">
        <v>96423.873286690301</v>
      </c>
      <c r="E25" s="61">
        <v>57696.0824869063</v>
      </c>
      <c r="F25" s="31">
        <f t="shared" si="0"/>
        <v>387280.91265100363</v>
      </c>
      <c r="G25" s="61">
        <v>5000</v>
      </c>
      <c r="H25" s="34">
        <f t="shared" si="1"/>
        <v>1911386.2162977632</v>
      </c>
      <c r="I25" s="34">
        <v>1240842.74999999</v>
      </c>
      <c r="J25" s="61">
        <v>294493.110486174</v>
      </c>
      <c r="K25" s="61">
        <v>122705.56047065899</v>
      </c>
      <c r="L25" s="61">
        <v>73624.0009643433</v>
      </c>
      <c r="M25" s="31">
        <f t="shared" si="2"/>
        <v>490822.67192117631</v>
      </c>
      <c r="N25" s="61">
        <v>10000</v>
      </c>
      <c r="O25" s="34">
        <f t="shared" si="3"/>
        <v>2422406.2149997735</v>
      </c>
      <c r="P25" s="34">
        <v>1706725.5000002501</v>
      </c>
    </row>
    <row r="26" spans="1:16" x14ac:dyDescent="0.2">
      <c r="A26" s="27" t="s">
        <v>95</v>
      </c>
      <c r="B26" s="58">
        <v>4.8413000000000004</v>
      </c>
      <c r="C26" s="59">
        <v>245145.33342070799</v>
      </c>
      <c r="D26" s="59">
        <v>100831.561260387</v>
      </c>
      <c r="E26" s="59">
        <v>60212.998098832097</v>
      </c>
      <c r="F26" s="28">
        <f t="shared" si="0"/>
        <v>406189.89277992706</v>
      </c>
      <c r="G26" s="59">
        <v>5000</v>
      </c>
      <c r="H26" s="33">
        <f t="shared" si="1"/>
        <v>1966487.1279154611</v>
      </c>
      <c r="I26" s="33">
        <v>1265049.2499998901</v>
      </c>
      <c r="J26" s="59">
        <v>311046.93430410902</v>
      </c>
      <c r="K26" s="59">
        <v>129602.83032695</v>
      </c>
      <c r="L26" s="59">
        <v>77762.407005237503</v>
      </c>
      <c r="M26" s="28">
        <f t="shared" si="2"/>
        <v>518412.17163629655</v>
      </c>
      <c r="N26" s="59">
        <v>10000</v>
      </c>
      <c r="O26" s="33">
        <f t="shared" si="3"/>
        <v>2509788.8465428026</v>
      </c>
      <c r="P26" s="33">
        <v>1755138.49999996</v>
      </c>
    </row>
    <row r="27" spans="1:16" x14ac:dyDescent="0.2">
      <c r="A27" s="30" t="s">
        <v>96</v>
      </c>
      <c r="B27" s="60">
        <v>4.83155</v>
      </c>
      <c r="C27" s="61">
        <v>256631.15721165601</v>
      </c>
      <c r="D27" s="61">
        <v>104663.704168763</v>
      </c>
      <c r="E27" s="61">
        <v>62304.513988861603</v>
      </c>
      <c r="F27" s="31">
        <f t="shared" si="0"/>
        <v>423599.37536928058</v>
      </c>
      <c r="G27" s="61">
        <v>5000</v>
      </c>
      <c r="H27" s="34">
        <f t="shared" si="1"/>
        <v>2046641.5620654477</v>
      </c>
      <c r="I27" s="34">
        <v>1289206.9999999001</v>
      </c>
      <c r="J27" s="61">
        <v>326505.453727382</v>
      </c>
      <c r="K27" s="61">
        <v>136044.90132704799</v>
      </c>
      <c r="L27" s="61">
        <v>81626.358569453703</v>
      </c>
      <c r="M27" s="31">
        <f t="shared" si="2"/>
        <v>544176.71362388367</v>
      </c>
      <c r="N27" s="61">
        <v>10000</v>
      </c>
      <c r="O27" s="34">
        <f t="shared" si="3"/>
        <v>2629217.000709475</v>
      </c>
      <c r="P27" s="34">
        <v>1803453.99999998</v>
      </c>
    </row>
    <row r="28" spans="1:16" x14ac:dyDescent="0.2">
      <c r="A28" s="27" t="s">
        <v>97</v>
      </c>
      <c r="B28" s="58">
        <v>4.8217999999999996</v>
      </c>
      <c r="C28" s="59">
        <v>268655.12768610701</v>
      </c>
      <c r="D28" s="59">
        <v>108541.292131112</v>
      </c>
      <c r="E28" s="59">
        <v>64383.653148233199</v>
      </c>
      <c r="F28" s="28">
        <f t="shared" si="0"/>
        <v>441580.07296545221</v>
      </c>
      <c r="G28" s="59">
        <v>5000</v>
      </c>
      <c r="H28" s="33">
        <f t="shared" si="1"/>
        <v>2129210.7958248174</v>
      </c>
      <c r="I28" s="33">
        <v>1313315.9999998</v>
      </c>
      <c r="J28" s="59">
        <v>342434.25302042498</v>
      </c>
      <c r="K28" s="59">
        <v>142681.212175986</v>
      </c>
      <c r="L28" s="59">
        <v>85609.257841357103</v>
      </c>
      <c r="M28" s="28">
        <f t="shared" si="2"/>
        <v>570724.72303776816</v>
      </c>
      <c r="N28" s="59">
        <v>10000</v>
      </c>
      <c r="O28" s="33">
        <f t="shared" si="3"/>
        <v>2751920.4695435101</v>
      </c>
      <c r="P28" s="33">
        <v>1851672.0000001399</v>
      </c>
    </row>
    <row r="29" spans="1:16" x14ac:dyDescent="0.2">
      <c r="A29" s="30" t="s">
        <v>98</v>
      </c>
      <c r="B29" s="60">
        <v>4.8120500000000002</v>
      </c>
      <c r="C29" s="61">
        <v>281242.45869534701</v>
      </c>
      <c r="D29" s="61">
        <v>112465.46087334699</v>
      </c>
      <c r="E29" s="61">
        <v>66449.287619334194</v>
      </c>
      <c r="F29" s="31">
        <f t="shared" si="0"/>
        <v>460157.2071880282</v>
      </c>
      <c r="G29" s="61">
        <v>5000</v>
      </c>
      <c r="H29" s="34">
        <f t="shared" si="1"/>
        <v>2214299.4888491514</v>
      </c>
      <c r="I29" s="34">
        <v>1337376.24999984</v>
      </c>
      <c r="J29" s="61">
        <v>358847.36626253702</v>
      </c>
      <c r="K29" s="61">
        <v>149520.342989278</v>
      </c>
      <c r="L29" s="61">
        <v>89712.334569348706</v>
      </c>
      <c r="M29" s="31">
        <f t="shared" si="2"/>
        <v>598080.04382116371</v>
      </c>
      <c r="N29" s="61">
        <v>10000</v>
      </c>
      <c r="O29" s="34">
        <f t="shared" si="3"/>
        <v>2877991.0748696309</v>
      </c>
      <c r="P29" s="34">
        <v>1899792.49999983</v>
      </c>
    </row>
    <row r="30" spans="1:16" x14ac:dyDescent="0.2">
      <c r="A30" s="27" t="s">
        <v>99</v>
      </c>
      <c r="B30" s="58">
        <v>4.8022999999999998</v>
      </c>
      <c r="C30" s="59">
        <v>294419.54543827102</v>
      </c>
      <c r="D30" s="59">
        <v>116436.349513332</v>
      </c>
      <c r="E30" s="59">
        <v>68501.277783090496</v>
      </c>
      <c r="F30" s="28">
        <f t="shared" si="0"/>
        <v>479357.17273469351</v>
      </c>
      <c r="G30" s="59">
        <v>5000</v>
      </c>
      <c r="H30" s="33">
        <f t="shared" si="1"/>
        <v>2302016.9506238187</v>
      </c>
      <c r="I30" s="33">
        <v>1361387.7499997399</v>
      </c>
      <c r="J30" s="59">
        <v>375760.48507342499</v>
      </c>
      <c r="K30" s="59">
        <v>156566.899507758</v>
      </c>
      <c r="L30" s="59">
        <v>93939.831215660699</v>
      </c>
      <c r="M30" s="28">
        <f t="shared" si="2"/>
        <v>626267.21579684364</v>
      </c>
      <c r="N30" s="59">
        <v>10000</v>
      </c>
      <c r="O30" s="33">
        <f t="shared" si="3"/>
        <v>3007523.0504211821</v>
      </c>
      <c r="P30" s="33">
        <v>1947815.49999964</v>
      </c>
    </row>
    <row r="31" spans="1:16" x14ac:dyDescent="0.2">
      <c r="A31" s="30" t="s">
        <v>100</v>
      </c>
      <c r="B31" s="60">
        <v>4.8278499999999998</v>
      </c>
      <c r="C31" s="61">
        <v>306857.78064561699</v>
      </c>
      <c r="D31" s="61">
        <v>120234.813014504</v>
      </c>
      <c r="E31" s="61">
        <v>70478.725140316703</v>
      </c>
      <c r="F31" s="31">
        <f t="shared" si="0"/>
        <v>497571.31880043767</v>
      </c>
      <c r="G31" s="61">
        <v>5000</v>
      </c>
      <c r="H31" s="34">
        <f t="shared" si="1"/>
        <v>2402199.6914706929</v>
      </c>
      <c r="I31" s="34">
        <v>1385526.9999997499</v>
      </c>
      <c r="J31" s="61">
        <v>391915.10130521201</v>
      </c>
      <c r="K31" s="61">
        <v>163297.744161304</v>
      </c>
      <c r="L31" s="61">
        <v>97979.1412010934</v>
      </c>
      <c r="M31" s="31">
        <f t="shared" si="2"/>
        <v>653191.98666760942</v>
      </c>
      <c r="N31" s="61">
        <v>10000</v>
      </c>
      <c r="O31" s="34">
        <f t="shared" si="3"/>
        <v>3153512.932833218</v>
      </c>
      <c r="P31" s="34">
        <v>1996093.9999996501</v>
      </c>
    </row>
    <row r="32" spans="1:16" x14ac:dyDescent="0.2">
      <c r="A32" s="27" t="s">
        <v>101</v>
      </c>
      <c r="B32" s="58">
        <v>4.8533999999999997</v>
      </c>
      <c r="C32" s="59">
        <v>319821.489441488</v>
      </c>
      <c r="D32" s="59">
        <v>124073.255419782</v>
      </c>
      <c r="E32" s="59">
        <v>72440.546574608394</v>
      </c>
      <c r="F32" s="28">
        <f t="shared" si="0"/>
        <v>516335.29143587837</v>
      </c>
      <c r="G32" s="59">
        <v>5000</v>
      </c>
      <c r="H32" s="33">
        <f t="shared" si="1"/>
        <v>2505981.7034548922</v>
      </c>
      <c r="I32" s="33">
        <v>1409793.9999998601</v>
      </c>
      <c r="J32" s="59">
        <v>408506.19571988098</v>
      </c>
      <c r="K32" s="59">
        <v>170211.67528689199</v>
      </c>
      <c r="L32" s="59">
        <v>102126.51413271</v>
      </c>
      <c r="M32" s="28">
        <f t="shared" si="2"/>
        <v>680844.38513948303</v>
      </c>
      <c r="N32" s="59">
        <v>10000</v>
      </c>
      <c r="O32" s="33">
        <f t="shared" si="3"/>
        <v>3304410.1388359666</v>
      </c>
      <c r="P32" s="33">
        <v>2044627.9999998701</v>
      </c>
    </row>
    <row r="33" spans="1:16" x14ac:dyDescent="0.2">
      <c r="A33" s="30" t="s">
        <v>102</v>
      </c>
      <c r="B33" s="60">
        <v>4.8789499999999997</v>
      </c>
      <c r="C33" s="61">
        <v>333332.87131701998</v>
      </c>
      <c r="D33" s="61">
        <v>127952.855432471</v>
      </c>
      <c r="E33" s="61">
        <v>74385.683815509095</v>
      </c>
      <c r="F33" s="31">
        <f t="shared" si="0"/>
        <v>535671.41056500003</v>
      </c>
      <c r="G33" s="61">
        <v>5000</v>
      </c>
      <c r="H33" s="34">
        <f t="shared" si="1"/>
        <v>2613514.0285761068</v>
      </c>
      <c r="I33" s="34">
        <v>1434188.74999978</v>
      </c>
      <c r="J33" s="61">
        <v>425764.20805210702</v>
      </c>
      <c r="K33" s="61">
        <v>177202.51127007499</v>
      </c>
      <c r="L33" s="61">
        <v>106277.352986849</v>
      </c>
      <c r="M33" s="31">
        <f t="shared" si="2"/>
        <v>709244.07230903103</v>
      </c>
      <c r="N33" s="61">
        <v>10000</v>
      </c>
      <c r="O33" s="34">
        <f t="shared" si="3"/>
        <v>3460366.3665921469</v>
      </c>
      <c r="P33" s="34">
        <v>2093417.5000000701</v>
      </c>
    </row>
    <row r="34" spans="1:16" x14ac:dyDescent="0.2">
      <c r="A34" s="27" t="s">
        <v>103</v>
      </c>
      <c r="B34" s="58">
        <v>4.9044999999999996</v>
      </c>
      <c r="C34" s="59">
        <v>347415.06361715897</v>
      </c>
      <c r="D34" s="59">
        <v>131873.79702460801</v>
      </c>
      <c r="E34" s="59">
        <v>76314.074646178007</v>
      </c>
      <c r="F34" s="28">
        <f t="shared" si="0"/>
        <v>555602.93528794497</v>
      </c>
      <c r="G34" s="59">
        <v>5000</v>
      </c>
      <c r="H34" s="33">
        <f t="shared" si="1"/>
        <v>2724954.5961197261</v>
      </c>
      <c r="I34" s="33">
        <v>1458711.2499997001</v>
      </c>
      <c r="J34" s="59">
        <v>443751.31334003399</v>
      </c>
      <c r="K34" s="59">
        <v>184254.595870953</v>
      </c>
      <c r="L34" s="59">
        <v>110413.670688242</v>
      </c>
      <c r="M34" s="28">
        <f t="shared" si="2"/>
        <v>738419.57989922888</v>
      </c>
      <c r="N34" s="59">
        <v>10000</v>
      </c>
      <c r="O34" s="33">
        <f t="shared" si="3"/>
        <v>3621578.8296157676</v>
      </c>
      <c r="P34" s="33">
        <v>2142462.4999997499</v>
      </c>
    </row>
    <row r="35" spans="1:16" x14ac:dyDescent="0.2">
      <c r="A35" s="30" t="s">
        <v>104</v>
      </c>
      <c r="B35" s="60">
        <v>5.0548000000000002</v>
      </c>
      <c r="C35" s="61">
        <v>360183.119562587</v>
      </c>
      <c r="D35" s="61">
        <v>135483.78222259899</v>
      </c>
      <c r="E35" s="61">
        <v>78106.902944208996</v>
      </c>
      <c r="F35" s="31">
        <f t="shared" si="0"/>
        <v>573773.80472939508</v>
      </c>
      <c r="G35" s="61">
        <v>5000</v>
      </c>
      <c r="H35" s="34">
        <f t="shared" si="1"/>
        <v>2900311.8281461461</v>
      </c>
      <c r="I35" s="34">
        <v>1483985.2499998</v>
      </c>
      <c r="J35" s="61">
        <v>460059.87962841499</v>
      </c>
      <c r="K35" s="61">
        <v>190873.608113564</v>
      </c>
      <c r="L35" s="61">
        <v>114346.097659943</v>
      </c>
      <c r="M35" s="31">
        <f t="shared" si="2"/>
        <v>765279.585401922</v>
      </c>
      <c r="N35" s="61">
        <v>10000</v>
      </c>
      <c r="O35" s="34">
        <f t="shared" si="3"/>
        <v>3868335.2482896354</v>
      </c>
      <c r="P35" s="34">
        <v>2193010.4999999199</v>
      </c>
    </row>
    <row r="36" spans="1:16" x14ac:dyDescent="0.2">
      <c r="A36" s="27" t="s">
        <v>105</v>
      </c>
      <c r="B36" s="58">
        <v>5.1550000000000002</v>
      </c>
      <c r="C36" s="59">
        <v>368954.79756142298</v>
      </c>
      <c r="D36" s="59">
        <v>135916.29422684401</v>
      </c>
      <c r="E36" s="59">
        <v>77950.454190718403</v>
      </c>
      <c r="F36" s="28">
        <f t="shared" si="0"/>
        <v>582821.54597898538</v>
      </c>
      <c r="G36" s="59">
        <v>0</v>
      </c>
      <c r="H36" s="33">
        <f t="shared" si="1"/>
        <v>3004445.0695216698</v>
      </c>
      <c r="I36" s="33">
        <v>1483985.2499998</v>
      </c>
      <c r="J36" s="59">
        <v>471263.894767116</v>
      </c>
      <c r="K36" s="59">
        <v>191482.943972426</v>
      </c>
      <c r="L36" s="59">
        <v>114117.061508577</v>
      </c>
      <c r="M36" s="28">
        <f t="shared" si="2"/>
        <v>776863.90024811903</v>
      </c>
      <c r="N36" s="59">
        <v>0</v>
      </c>
      <c r="O36" s="33">
        <f t="shared" si="3"/>
        <v>4004733.4057790539</v>
      </c>
      <c r="P36" s="33">
        <v>2193010.4999999199</v>
      </c>
    </row>
    <row r="38" spans="1:16" x14ac:dyDescent="0.2">
      <c r="A38" s="2" t="s">
        <v>106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">
      <c r="A39" s="1" t="s">
        <v>107</v>
      </c>
      <c r="B39" s="3" t="s">
        <v>24</v>
      </c>
      <c r="C39" s="3"/>
      <c r="D39" s="3"/>
      <c r="E39" s="3"/>
      <c r="F39" s="4" t="s">
        <v>25</v>
      </c>
      <c r="G39" s="4"/>
      <c r="H39" s="4"/>
      <c r="I39" s="4"/>
    </row>
    <row r="40" spans="1:16" x14ac:dyDescent="0.2">
      <c r="A40" s="1"/>
      <c r="B40" s="62" t="s">
        <v>108</v>
      </c>
      <c r="C40" s="62" t="s">
        <v>109</v>
      </c>
      <c r="D40" s="62" t="s">
        <v>110</v>
      </c>
      <c r="E40" s="62" t="s">
        <v>111</v>
      </c>
      <c r="F40" s="63" t="s">
        <v>108</v>
      </c>
      <c r="G40" s="63" t="s">
        <v>109</v>
      </c>
      <c r="H40" s="63" t="s">
        <v>110</v>
      </c>
      <c r="I40" s="63" t="s">
        <v>111</v>
      </c>
    </row>
    <row r="41" spans="1:16" ht="30" x14ac:dyDescent="0.2">
      <c r="A41" s="27" t="s">
        <v>112</v>
      </c>
      <c r="B41" s="59">
        <f>F36</f>
        <v>582821.54597898538</v>
      </c>
      <c r="C41" s="59">
        <f>B41/$B$54</f>
        <v>448117.44270258758</v>
      </c>
      <c r="D41" s="29">
        <f>(B41-B43)/B43</f>
        <v>0.68933781443184172</v>
      </c>
      <c r="E41" s="131" t="s">
        <v>113</v>
      </c>
      <c r="F41" s="59">
        <f>M36</f>
        <v>776863.90024811903</v>
      </c>
      <c r="G41" s="59">
        <f>F41/$B$54</f>
        <v>597311.93314479396</v>
      </c>
      <c r="H41" s="29">
        <f>(F41-F43)/F43</f>
        <v>0.58543653111861027</v>
      </c>
      <c r="I41" s="131" t="s">
        <v>113</v>
      </c>
    </row>
    <row r="42" spans="1:16" ht="30" x14ac:dyDescent="0.2">
      <c r="A42" s="27" t="s">
        <v>114</v>
      </c>
      <c r="B42" s="64">
        <f>H36</f>
        <v>3004445.0695216698</v>
      </c>
      <c r="C42" s="64">
        <f>B42/$B$55</f>
        <v>2032502.4147758556</v>
      </c>
      <c r="D42" s="29">
        <f>(B42-B44)/B44</f>
        <v>1.0245787951882102</v>
      </c>
      <c r="E42" s="131" t="s">
        <v>115</v>
      </c>
      <c r="F42" s="64">
        <f>O36</f>
        <v>4004733.4057790539</v>
      </c>
      <c r="G42" s="64">
        <f>F42/$B$55</f>
        <v>2709195.9178589191</v>
      </c>
      <c r="H42" s="29">
        <f>(F42-F44)/F44</f>
        <v>0.82613508041990691</v>
      </c>
      <c r="I42" s="131" t="s">
        <v>115</v>
      </c>
    </row>
    <row r="43" spans="1:16" x14ac:dyDescent="0.2">
      <c r="A43" s="27" t="s">
        <v>116</v>
      </c>
      <c r="B43" s="59">
        <f>200000+SUM(G7:G36)</f>
        <v>345000</v>
      </c>
      <c r="C43" s="59">
        <v>283733.21999999997</v>
      </c>
      <c r="D43" s="59"/>
      <c r="E43" s="131" t="s">
        <v>117</v>
      </c>
      <c r="F43" s="59">
        <f>200000+SUM(N7:N36)</f>
        <v>490000</v>
      </c>
      <c r="G43" s="59">
        <v>393245.5</v>
      </c>
      <c r="H43" s="59"/>
      <c r="I43" s="131" t="s">
        <v>117</v>
      </c>
    </row>
    <row r="44" spans="1:16" ht="30" x14ac:dyDescent="0.2">
      <c r="A44" s="27" t="s">
        <v>118</v>
      </c>
      <c r="B44" s="64">
        <f>I36</f>
        <v>1483985.2499998</v>
      </c>
      <c r="C44" s="64">
        <f>B44/$B$55</f>
        <v>1003913.7126233256</v>
      </c>
      <c r="D44" s="64"/>
      <c r="E44" s="131" t="s">
        <v>119</v>
      </c>
      <c r="F44" s="64">
        <f>P36</f>
        <v>2193010.4999999199</v>
      </c>
      <c r="G44" s="64">
        <f>F44/$B$55</f>
        <v>1483568.1910431064</v>
      </c>
      <c r="H44" s="64"/>
      <c r="I44" s="131" t="s">
        <v>119</v>
      </c>
    </row>
    <row r="45" spans="1:16" ht="30" x14ac:dyDescent="0.2">
      <c r="A45" s="27" t="s">
        <v>120</v>
      </c>
      <c r="B45" s="64">
        <f>B42-B44</f>
        <v>1520459.8195218698</v>
      </c>
      <c r="C45" s="64">
        <f>B45/$B$55</f>
        <v>1028588.70215253</v>
      </c>
      <c r="D45" s="64"/>
      <c r="E45" s="131" t="s">
        <v>121</v>
      </c>
      <c r="F45" s="64">
        <f>F42-F44</f>
        <v>1811722.905779134</v>
      </c>
      <c r="G45" s="64">
        <f>F45/$B$55</f>
        <v>1225627.7268158125</v>
      </c>
      <c r="H45" s="64"/>
      <c r="I45" s="131" t="s">
        <v>121</v>
      </c>
    </row>
    <row r="46" spans="1:16" ht="30" x14ac:dyDescent="0.2">
      <c r="A46" s="27" t="s">
        <v>122</v>
      </c>
      <c r="B46" s="124">
        <f>B45*$B$53</f>
        <v>228068.97292828045</v>
      </c>
      <c r="C46" s="124">
        <f>B46/$B$55</f>
        <v>154288.30532287949</v>
      </c>
      <c r="D46" s="29"/>
      <c r="E46" s="131" t="s">
        <v>123</v>
      </c>
      <c r="F46" s="124">
        <f>F45*$B$53</f>
        <v>271758.4358668701</v>
      </c>
      <c r="G46" s="124">
        <f>F46/$B$55</f>
        <v>183844.15902237187</v>
      </c>
      <c r="H46" s="29"/>
      <c r="I46" s="131" t="s">
        <v>123</v>
      </c>
    </row>
    <row r="47" spans="1:16" ht="30" x14ac:dyDescent="0.2">
      <c r="A47" s="35" t="s">
        <v>124</v>
      </c>
      <c r="B47" s="65">
        <f>B42-B46</f>
        <v>2776376.0965933893</v>
      </c>
      <c r="C47" s="65">
        <f>B47/$B$55</f>
        <v>1878214.1094529761</v>
      </c>
      <c r="D47" s="65"/>
      <c r="E47" s="132" t="s">
        <v>125</v>
      </c>
      <c r="F47" s="66">
        <f>F42-F46</f>
        <v>3732974.9699121839</v>
      </c>
      <c r="G47" s="66">
        <f>F47/$B$55</f>
        <v>2525351.7588365474</v>
      </c>
      <c r="H47" s="66"/>
      <c r="I47" s="133" t="s">
        <v>125</v>
      </c>
    </row>
    <row r="48" spans="1:16" ht="30" x14ac:dyDescent="0.2">
      <c r="A48" s="35" t="s">
        <v>126</v>
      </c>
      <c r="B48" s="67">
        <f>B47/$B$56</f>
        <v>538579.26219076419</v>
      </c>
      <c r="C48" s="67">
        <f>B48/$B$54</f>
        <v>414100.61678514857</v>
      </c>
      <c r="D48" s="67"/>
      <c r="E48" s="132" t="s">
        <v>127</v>
      </c>
      <c r="F48" s="68">
        <f>F47/$B$56</f>
        <v>724146.45391118992</v>
      </c>
      <c r="G48" s="68">
        <f>F48/$B$54</f>
        <v>556778.75896600797</v>
      </c>
      <c r="H48" s="68"/>
      <c r="I48" s="133" t="s">
        <v>127</v>
      </c>
    </row>
    <row r="49" spans="1:9" ht="30" x14ac:dyDescent="0.2">
      <c r="A49" s="35" t="s">
        <v>128</v>
      </c>
      <c r="B49" s="36">
        <f>(B48-B43)/B43</f>
        <v>0.56109931069786723</v>
      </c>
      <c r="C49" s="36">
        <f>(C48-C43)/C43</f>
        <v>0.45947174174792998</v>
      </c>
      <c r="D49" s="36"/>
      <c r="E49" s="132" t="s">
        <v>129</v>
      </c>
      <c r="F49" s="69">
        <f>(F48-F43)/F43</f>
        <v>0.47784990594120391</v>
      </c>
      <c r="G49" s="69">
        <f>(G48-G43)/G43</f>
        <v>0.41585538541701805</v>
      </c>
      <c r="H49" s="69"/>
      <c r="I49" s="133" t="s">
        <v>129</v>
      </c>
    </row>
    <row r="50" spans="1:9" ht="30" x14ac:dyDescent="0.2">
      <c r="A50" s="35" t="s">
        <v>130</v>
      </c>
      <c r="B50" s="36">
        <f>(B47-B44)/B44</f>
        <v>0.87089197590997858</v>
      </c>
      <c r="C50" s="36">
        <f>(C47-C44)/C44</f>
        <v>0.87089197590997858</v>
      </c>
      <c r="D50" s="36"/>
      <c r="E50" s="132" t="s">
        <v>131</v>
      </c>
      <c r="F50" s="69">
        <f>(F47-F44)/F44</f>
        <v>0.7022148183569209</v>
      </c>
      <c r="G50" s="69">
        <f>(G47-G44)/G44</f>
        <v>0.70221481835692112</v>
      </c>
      <c r="H50" s="69"/>
      <c r="I50" s="133" t="s">
        <v>131</v>
      </c>
    </row>
    <row r="52" spans="1:9" x14ac:dyDescent="0.2">
      <c r="A52" s="110" t="s">
        <v>232</v>
      </c>
    </row>
    <row r="53" spans="1:9" x14ac:dyDescent="0.2">
      <c r="A53" s="110" t="s">
        <v>233</v>
      </c>
      <c r="B53" s="111">
        <v>0.15</v>
      </c>
    </row>
    <row r="54" spans="1:9" x14ac:dyDescent="0.2">
      <c r="A54" s="110" t="s">
        <v>234</v>
      </c>
      <c r="B54" s="112">
        <v>1.3006</v>
      </c>
    </row>
    <row r="55" spans="1:9" x14ac:dyDescent="0.2">
      <c r="A55" s="110" t="s">
        <v>235</v>
      </c>
      <c r="B55" s="112">
        <v>1.4782</v>
      </c>
    </row>
    <row r="56" spans="1:9" x14ac:dyDescent="0.2">
      <c r="A56" s="110" t="s">
        <v>236</v>
      </c>
      <c r="B56" s="112">
        <v>5.1550000000000002</v>
      </c>
    </row>
  </sheetData>
  <mergeCells count="6">
    <mergeCell ref="C4:I4"/>
    <mergeCell ref="J4:P4"/>
    <mergeCell ref="A38:P38"/>
    <mergeCell ref="A39:A40"/>
    <mergeCell ref="B39:E39"/>
    <mergeCell ref="F39:I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PageLayoutView="60" workbookViewId="0"/>
  </sheetViews>
  <sheetFormatPr baseColWidth="10" defaultColWidth="8.6640625" defaultRowHeight="15" x14ac:dyDescent="0.2"/>
  <cols>
    <col min="1" max="1" width="36.6640625" customWidth="1"/>
    <col min="2" max="2" width="21.6640625" customWidth="1"/>
    <col min="3" max="3" width="22.5" customWidth="1"/>
    <col min="4" max="4" width="18.33203125" customWidth="1"/>
    <col min="5" max="5" width="15" customWidth="1"/>
    <col min="6" max="6" width="33.33203125" customWidth="1"/>
  </cols>
  <sheetData>
    <row r="1" spans="1:6" ht="88" x14ac:dyDescent="0.25">
      <c r="A1" s="134" t="s">
        <v>132</v>
      </c>
      <c r="B1" s="125"/>
      <c r="C1" s="125"/>
      <c r="D1" s="125"/>
      <c r="E1" s="125"/>
      <c r="F1" s="125"/>
    </row>
    <row r="2" spans="1:6" ht="48" x14ac:dyDescent="0.2">
      <c r="A2" s="130" t="s">
        <v>133</v>
      </c>
      <c r="B2" s="125"/>
      <c r="C2" s="125"/>
      <c r="D2" s="125"/>
      <c r="E2" s="125"/>
      <c r="F2" s="125"/>
    </row>
    <row r="4" spans="1:6" x14ac:dyDescent="0.2">
      <c r="A4" s="70" t="s">
        <v>134</v>
      </c>
    </row>
    <row r="5" spans="1:6" ht="48" x14ac:dyDescent="0.2">
      <c r="A5" s="71" t="s">
        <v>135</v>
      </c>
      <c r="B5" s="71" t="s">
        <v>3</v>
      </c>
      <c r="C5" s="71" t="s">
        <v>136</v>
      </c>
      <c r="D5" s="71" t="s">
        <v>137</v>
      </c>
      <c r="E5" s="71" t="s">
        <v>138</v>
      </c>
      <c r="F5" s="71" t="s">
        <v>139</v>
      </c>
    </row>
    <row r="6" spans="1:6" ht="48" x14ac:dyDescent="0.2">
      <c r="A6" s="72" t="s">
        <v>140</v>
      </c>
      <c r="B6" s="73">
        <f>'Cenário 1 - Buy &amp; Hold'!B17</f>
        <v>409449.44212224364</v>
      </c>
      <c r="C6" s="73">
        <f>'Cenário 2 - Rebalanceamento'!B23</f>
        <v>396094.71959173994</v>
      </c>
      <c r="D6" s="73">
        <f t="shared" ref="D6:D23" si="0">C6-B6</f>
        <v>-13354.722530503699</v>
      </c>
      <c r="E6" s="74">
        <f t="shared" ref="E6:E13" si="1">D6/B6</f>
        <v>-3.2616291919422287E-2</v>
      </c>
      <c r="F6" s="135" t="s">
        <v>141</v>
      </c>
    </row>
    <row r="7" spans="1:6" ht="48" x14ac:dyDescent="0.2">
      <c r="A7" s="75" t="s">
        <v>142</v>
      </c>
      <c r="B7" s="76">
        <f>'Cenário 1 - Buy &amp; Hold'!E17</f>
        <v>2110711.8741401662</v>
      </c>
      <c r="C7" s="76">
        <f>'Cenário 2 - Rebalanceamento'!E23</f>
        <v>2041868.2794954195</v>
      </c>
      <c r="D7" s="76">
        <f t="shared" si="0"/>
        <v>-68843.594644746743</v>
      </c>
      <c r="E7" s="77">
        <f t="shared" si="1"/>
        <v>-3.261629191942237E-2</v>
      </c>
      <c r="F7" s="136" t="s">
        <v>143</v>
      </c>
    </row>
    <row r="8" spans="1:6" ht="48" x14ac:dyDescent="0.2">
      <c r="A8" s="72" t="s">
        <v>144</v>
      </c>
      <c r="B8" s="78">
        <f>'Cenário 1 - Buy &amp; Hold'!E18</f>
        <v>774960</v>
      </c>
      <c r="C8" s="78">
        <f>'Cenário 2 - Rebalanceamento'!B24</f>
        <v>859353.49946509465</v>
      </c>
      <c r="D8" s="78">
        <f t="shared" si="0"/>
        <v>84393.499465094646</v>
      </c>
      <c r="E8" s="74">
        <f t="shared" si="1"/>
        <v>0.1089004586883125</v>
      </c>
      <c r="F8" s="135" t="s">
        <v>145</v>
      </c>
    </row>
    <row r="9" spans="1:6" ht="48" x14ac:dyDescent="0.2">
      <c r="A9" s="75" t="s">
        <v>146</v>
      </c>
      <c r="B9" s="76">
        <v>0</v>
      </c>
      <c r="C9" s="76">
        <f>'Cenário 2 - Rebalanceamento'!E20</f>
        <v>12659.024919764192</v>
      </c>
      <c r="D9" s="76">
        <f t="shared" si="0"/>
        <v>12659.024919764192</v>
      </c>
      <c r="E9" s="77" t="str">
        <f>IFERROR(D9/B9,"n/a")</f>
        <v>n/a</v>
      </c>
      <c r="F9" s="136" t="s">
        <v>147</v>
      </c>
    </row>
    <row r="10" spans="1:6" ht="48" x14ac:dyDescent="0.2">
      <c r="A10" s="72" t="s">
        <v>148</v>
      </c>
      <c r="B10" s="78">
        <f>'Cenário 1 - Buy &amp; Hold'!B20</f>
        <v>200362.78112102492</v>
      </c>
      <c r="C10" s="78">
        <f>'Cenário 2 - Rebalanceamento'!B26</f>
        <v>177377.21700454873</v>
      </c>
      <c r="D10" s="78">
        <f t="shared" si="0"/>
        <v>-22985.564116476191</v>
      </c>
      <c r="E10" s="74">
        <f t="shared" si="1"/>
        <v>-0.11471972982143946</v>
      </c>
      <c r="F10" s="135" t="s">
        <v>149</v>
      </c>
    </row>
    <row r="11" spans="1:6" ht="48" x14ac:dyDescent="0.2">
      <c r="A11" s="75" t="s">
        <v>20</v>
      </c>
      <c r="B11" s="76">
        <f>'Cenário 1 - Buy &amp; Hold'!B20</f>
        <v>200362.78112102492</v>
      </c>
      <c r="C11" s="76">
        <f>'Cenário 2 - Rebalanceamento'!E26</f>
        <v>190036.24192431293</v>
      </c>
      <c r="D11" s="76">
        <f t="shared" si="0"/>
        <v>-10326.539196711994</v>
      </c>
      <c r="E11" s="77">
        <f t="shared" si="1"/>
        <v>-5.1539208723971872E-2</v>
      </c>
      <c r="F11" s="136" t="s">
        <v>150</v>
      </c>
    </row>
    <row r="12" spans="1:6" ht="48" x14ac:dyDescent="0.2">
      <c r="A12" s="79" t="s">
        <v>151</v>
      </c>
      <c r="B12" s="80">
        <f>'Cenário 1 - Buy &amp; Hold'!E17-'Cenário 1 - Buy &amp; Hold'!B20</f>
        <v>1910349.0930191413</v>
      </c>
      <c r="C12" s="80">
        <f>'Cenário 2 - Rebalanceamento'!E23-'Cenário 2 - Rebalanceamento'!E26</f>
        <v>1851832.0375711066</v>
      </c>
      <c r="D12" s="80">
        <f t="shared" si="0"/>
        <v>-58517.055448034778</v>
      </c>
      <c r="E12" s="81">
        <f t="shared" si="1"/>
        <v>-3.063160322993827E-2</v>
      </c>
      <c r="F12" s="135" t="s">
        <v>152</v>
      </c>
    </row>
    <row r="13" spans="1:6" ht="48" x14ac:dyDescent="0.2">
      <c r="A13" s="82" t="s">
        <v>153</v>
      </c>
      <c r="B13" s="83">
        <f>('Cenário 1 - Buy &amp; Hold'!E17-'Cenário 1 - Buy &amp; Hold'!B20)/'Cenário 1 - Buy &amp; Hold'!B14</f>
        <v>370581.78332088096</v>
      </c>
      <c r="C13" s="83">
        <f>('Cenário 2 - Rebalanceamento'!E23-'Cenário 2 - Rebalanceamento'!E26)/'Cenário 2 - Rebalanceamento'!B15</f>
        <v>359230.26916995278</v>
      </c>
      <c r="D13" s="83">
        <f t="shared" si="0"/>
        <v>-11351.514150928182</v>
      </c>
      <c r="E13" s="84">
        <f t="shared" si="1"/>
        <v>-3.0631603229938274E-2</v>
      </c>
      <c r="F13" s="136" t="s">
        <v>154</v>
      </c>
    </row>
    <row r="14" spans="1:6" ht="32" x14ac:dyDescent="0.2">
      <c r="A14" s="79" t="s">
        <v>155</v>
      </c>
      <c r="B14" s="81">
        <f>(B13-200000)/200000</f>
        <v>0.85290891660440482</v>
      </c>
      <c r="C14" s="81">
        <f>(C13-200000)/200000</f>
        <v>0.79615134584976388</v>
      </c>
      <c r="D14" s="81">
        <f t="shared" si="0"/>
        <v>-5.675757075464094E-2</v>
      </c>
      <c r="E14" s="81">
        <f>C14-B14</f>
        <v>-5.675757075464094E-2</v>
      </c>
      <c r="F14" s="135" t="s">
        <v>156</v>
      </c>
    </row>
    <row r="15" spans="1:6" ht="32" x14ac:dyDescent="0.2">
      <c r="A15" s="82" t="s">
        <v>157</v>
      </c>
      <c r="B15" s="84">
        <f>(B12-774960)/774960</f>
        <v>1.4650938022854616</v>
      </c>
      <c r="C15" s="84">
        <f>(C12-774960)/774960</f>
        <v>1.3895840270092734</v>
      </c>
      <c r="D15" s="84">
        <f t="shared" si="0"/>
        <v>-7.5509775276188185E-2</v>
      </c>
      <c r="E15" s="84">
        <f>C15-B15</f>
        <v>-7.5509775276188185E-2</v>
      </c>
      <c r="F15" s="136" t="s">
        <v>158</v>
      </c>
    </row>
    <row r="16" spans="1:6" ht="48" x14ac:dyDescent="0.2">
      <c r="A16" s="79" t="s">
        <v>159</v>
      </c>
      <c r="B16" s="85">
        <f>'Cenário 1 - Buy &amp; Hold'!B23</f>
        <v>314799.01543689211</v>
      </c>
      <c r="C16" s="85">
        <f>'Cenário 2 - Rebalanceamento'!B29</f>
        <v>304531.43885345571</v>
      </c>
      <c r="D16" s="85">
        <f t="shared" si="0"/>
        <v>-10267.576583436399</v>
      </c>
      <c r="E16" s="86">
        <f t="shared" ref="E16:E21" si="2">D16/B16</f>
        <v>-3.2616291919422301E-2</v>
      </c>
      <c r="F16" s="135" t="s">
        <v>160</v>
      </c>
    </row>
    <row r="17" spans="1:6" ht="32" x14ac:dyDescent="0.2">
      <c r="A17" s="82" t="s">
        <v>161</v>
      </c>
      <c r="B17" s="87">
        <f>'Cenário 1 - Buy &amp; Hold'!E23</f>
        <v>1427955.3058696608</v>
      </c>
      <c r="C17" s="87">
        <f>'Cenário 2 - Rebalanceamento'!E29</f>
        <v>1381380.6987655279</v>
      </c>
      <c r="D17" s="87">
        <f t="shared" si="0"/>
        <v>-46574.607104132883</v>
      </c>
      <c r="E17" s="86">
        <f t="shared" si="2"/>
        <v>-3.2616291919422349E-2</v>
      </c>
      <c r="F17" s="136" t="s">
        <v>162</v>
      </c>
    </row>
    <row r="18" spans="1:6" ht="32" x14ac:dyDescent="0.2">
      <c r="A18" s="72" t="s">
        <v>22</v>
      </c>
      <c r="B18" s="78">
        <f>'Cenário 1 - Buy &amp; Hold'!B26</f>
        <v>135550.99580662584</v>
      </c>
      <c r="C18" s="78">
        <f>'Cenário 2 - Rebalanceamento'!B32</f>
        <v>130550.45069404534</v>
      </c>
      <c r="D18" s="78">
        <f t="shared" si="0"/>
        <v>-5000.5451125804975</v>
      </c>
      <c r="E18" s="74">
        <f t="shared" si="2"/>
        <v>-3.6890508128130377E-2</v>
      </c>
      <c r="F18" s="135" t="s">
        <v>163</v>
      </c>
    </row>
    <row r="19" spans="1:6" ht="32" x14ac:dyDescent="0.2">
      <c r="A19" s="75" t="s">
        <v>164</v>
      </c>
      <c r="B19" s="88">
        <f>'Cenário 1 - Buy &amp; Hold'!E26</f>
        <v>29882.81205021904</v>
      </c>
      <c r="C19" s="88">
        <f>'Cenário 2 - Rebalanceamento'!E32</f>
        <v>28554.200387623823</v>
      </c>
      <c r="D19" s="88">
        <f t="shared" si="0"/>
        <v>-1328.6116625952163</v>
      </c>
      <c r="E19" s="77">
        <f t="shared" si="2"/>
        <v>-4.4460730816177581E-2</v>
      </c>
      <c r="F19" s="136" t="s">
        <v>165</v>
      </c>
    </row>
    <row r="20" spans="1:6" ht="48" x14ac:dyDescent="0.2">
      <c r="A20" s="79" t="s">
        <v>166</v>
      </c>
      <c r="B20" s="87">
        <f>'Cenário 1 - Buy &amp; Hold'!B27</f>
        <v>1292404.310063035</v>
      </c>
      <c r="C20" s="87">
        <f>'Cenário 2 - Rebalanceamento'!B33</f>
        <v>1250830.2480714826</v>
      </c>
      <c r="D20" s="87">
        <f t="shared" si="0"/>
        <v>-41574.061991552357</v>
      </c>
      <c r="E20" s="86">
        <f t="shared" si="2"/>
        <v>-3.2168000112538037E-2</v>
      </c>
      <c r="F20" s="135" t="s">
        <v>167</v>
      </c>
    </row>
    <row r="21" spans="1:6" ht="48" x14ac:dyDescent="0.2">
      <c r="A21" s="82" t="s">
        <v>168</v>
      </c>
      <c r="B21" s="85">
        <f>'Cenário 1 - Buy &amp; Hold'!E27</f>
        <v>284916.20338667306</v>
      </c>
      <c r="C21" s="85">
        <f>'Cenário 2 - Rebalanceamento'!E33</f>
        <v>275977.23846583191</v>
      </c>
      <c r="D21" s="85">
        <f t="shared" si="0"/>
        <v>-8938.9649208411574</v>
      </c>
      <c r="E21" s="86">
        <f t="shared" si="2"/>
        <v>-3.1374013884038987E-2</v>
      </c>
      <c r="F21" s="136" t="s">
        <v>169</v>
      </c>
    </row>
    <row r="22" spans="1:6" ht="48" x14ac:dyDescent="0.2">
      <c r="A22" s="79" t="s">
        <v>16</v>
      </c>
      <c r="B22" s="86">
        <f>(B21-200000)/200000</f>
        <v>0.42458101693336531</v>
      </c>
      <c r="C22" s="86">
        <f>(C21-200000)/200000</f>
        <v>0.37988619232915954</v>
      </c>
      <c r="D22" s="86">
        <f t="shared" si="0"/>
        <v>-4.4694824604205763E-2</v>
      </c>
      <c r="E22" s="86">
        <f>C22-B22</f>
        <v>-4.4694824604205763E-2</v>
      </c>
      <c r="F22" s="135" t="s">
        <v>170</v>
      </c>
    </row>
    <row r="23" spans="1:6" ht="48" x14ac:dyDescent="0.2">
      <c r="A23" s="82" t="s">
        <v>18</v>
      </c>
      <c r="B23" s="86">
        <f>(B20-774960)/774960</f>
        <v>0.66770453967047971</v>
      </c>
      <c r="C23" s="86">
        <f>(C20-774960)/774960</f>
        <v>0.61405781985067953</v>
      </c>
      <c r="D23" s="86">
        <f t="shared" si="0"/>
        <v>-5.3646719819800182E-2</v>
      </c>
      <c r="E23" s="86">
        <f>C23-B23</f>
        <v>-5.3646719819800182E-2</v>
      </c>
      <c r="F23" s="136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zoomScaleNormal="100" zoomScalePageLayoutView="60" workbookViewId="0"/>
  </sheetViews>
  <sheetFormatPr baseColWidth="10" defaultColWidth="8.6640625" defaultRowHeight="15" x14ac:dyDescent="0.2"/>
  <cols>
    <col min="1" max="1" width="27.5" customWidth="1"/>
    <col min="2" max="5" width="12.5" customWidth="1"/>
    <col min="6" max="8" width="15.83203125" customWidth="1"/>
    <col min="9" max="9" width="17.5" customWidth="1"/>
    <col min="10" max="11" width="14.1640625" customWidth="1"/>
    <col min="12" max="12" width="17.5" customWidth="1"/>
    <col min="13" max="13" width="18.33203125" customWidth="1"/>
    <col min="14" max="15" width="14.1640625" customWidth="1"/>
    <col min="16" max="16" width="18.33203125" customWidth="1"/>
  </cols>
  <sheetData>
    <row r="1" spans="1:16" ht="88" x14ac:dyDescent="0.25">
      <c r="A1" s="134" t="s">
        <v>172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64" x14ac:dyDescent="0.2">
      <c r="A2" s="130" t="s">
        <v>173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4" spans="1:16" x14ac:dyDescent="0.2">
      <c r="A4" s="70" t="s">
        <v>174</v>
      </c>
    </row>
    <row r="5" spans="1:16" ht="32" x14ac:dyDescent="0.2">
      <c r="A5" s="89" t="s">
        <v>66</v>
      </c>
      <c r="B5" s="89" t="s">
        <v>175</v>
      </c>
      <c r="C5" s="89" t="s">
        <v>176</v>
      </c>
      <c r="D5" s="89" t="s">
        <v>177</v>
      </c>
      <c r="E5" s="89" t="s">
        <v>178</v>
      </c>
      <c r="F5" s="89" t="s">
        <v>68</v>
      </c>
      <c r="G5" s="89" t="s">
        <v>69</v>
      </c>
      <c r="H5" s="89" t="s">
        <v>70</v>
      </c>
      <c r="I5" s="89" t="s">
        <v>179</v>
      </c>
      <c r="J5" s="89" t="s">
        <v>180</v>
      </c>
      <c r="K5" s="89" t="s">
        <v>181</v>
      </c>
      <c r="L5" s="89" t="s">
        <v>182</v>
      </c>
      <c r="M5" s="89" t="s">
        <v>183</v>
      </c>
      <c r="N5" s="89" t="s">
        <v>184</v>
      </c>
      <c r="O5" s="89" t="s">
        <v>185</v>
      </c>
      <c r="P5" s="89" t="s">
        <v>186</v>
      </c>
    </row>
    <row r="6" spans="1:16" x14ac:dyDescent="0.2">
      <c r="A6" s="72" t="s">
        <v>75</v>
      </c>
      <c r="B6" s="90">
        <v>3.8748</v>
      </c>
      <c r="C6" s="91"/>
      <c r="D6" s="91"/>
      <c r="E6" s="91"/>
      <c r="F6" s="92">
        <v>120000</v>
      </c>
      <c r="G6" s="92">
        <v>50000</v>
      </c>
      <c r="H6" s="92">
        <v>30000</v>
      </c>
      <c r="I6" s="93">
        <f t="shared" ref="I6:I14" si="0">F6+G6+H6</f>
        <v>200000</v>
      </c>
      <c r="J6" s="74">
        <v>0</v>
      </c>
      <c r="K6" s="90">
        <v>1</v>
      </c>
      <c r="L6" s="85">
        <f t="shared" ref="L6:L14" si="1">I6/K6</f>
        <v>200000</v>
      </c>
      <c r="M6" s="80">
        <f t="shared" ref="M6:M14" si="2">I6*B6</f>
        <v>774960</v>
      </c>
      <c r="N6" s="74">
        <v>0</v>
      </c>
      <c r="O6" s="90">
        <v>1</v>
      </c>
      <c r="P6" s="87">
        <f t="shared" ref="P6:P14" si="3">M6/O6</f>
        <v>774960</v>
      </c>
    </row>
    <row r="7" spans="1:16" x14ac:dyDescent="0.2">
      <c r="A7" s="75" t="s">
        <v>187</v>
      </c>
      <c r="B7" s="94">
        <v>4.0307000000000004</v>
      </c>
      <c r="C7" s="95">
        <v>0.26600000000000001</v>
      </c>
      <c r="D7" s="95">
        <v>8.4000000000000005E-2</v>
      </c>
      <c r="E7" s="95">
        <v>8.2000000000000003E-2</v>
      </c>
      <c r="F7" s="88">
        <f t="shared" ref="F7:H14" si="4">F6*(1+C7)</f>
        <v>151920</v>
      </c>
      <c r="G7" s="88">
        <f t="shared" si="4"/>
        <v>54200.000000000007</v>
      </c>
      <c r="H7" s="88">
        <f t="shared" si="4"/>
        <v>32460.000000000004</v>
      </c>
      <c r="I7" s="83">
        <f t="shared" si="0"/>
        <v>238580</v>
      </c>
      <c r="J7" s="77">
        <v>1.8100000000000002E-2</v>
      </c>
      <c r="K7" s="94">
        <f t="shared" ref="K7:K14" si="5">K6*(1+J7)</f>
        <v>1.0181</v>
      </c>
      <c r="L7" s="85">
        <f t="shared" si="1"/>
        <v>234338.47362734505</v>
      </c>
      <c r="M7" s="96">
        <f t="shared" si="2"/>
        <v>961644.40600000008</v>
      </c>
      <c r="N7" s="77">
        <v>4.3099999999999999E-2</v>
      </c>
      <c r="O7" s="94">
        <f t="shared" ref="O7:O14" si="6">O6*(1+N7)</f>
        <v>1.0430999999999999</v>
      </c>
      <c r="P7" s="87">
        <f t="shared" si="3"/>
        <v>921910.08148787287</v>
      </c>
    </row>
    <row r="8" spans="1:16" x14ac:dyDescent="0.2">
      <c r="A8" s="72" t="s">
        <v>188</v>
      </c>
      <c r="B8" s="90">
        <v>5.1966999999999999</v>
      </c>
      <c r="C8" s="97">
        <v>0.16200000000000001</v>
      </c>
      <c r="D8" s="97">
        <v>0.11</v>
      </c>
      <c r="E8" s="97">
        <v>5.6000000000000001E-2</v>
      </c>
      <c r="F8" s="73">
        <f t="shared" si="4"/>
        <v>176531.03999999998</v>
      </c>
      <c r="G8" s="73">
        <f t="shared" si="4"/>
        <v>60162.000000000015</v>
      </c>
      <c r="H8" s="73">
        <f t="shared" si="4"/>
        <v>34277.760000000002</v>
      </c>
      <c r="I8" s="93">
        <f t="shared" si="0"/>
        <v>270970.8</v>
      </c>
      <c r="J8" s="74">
        <v>1.3599999999999999E-2</v>
      </c>
      <c r="K8" s="90">
        <f t="shared" si="5"/>
        <v>1.0319461600000002</v>
      </c>
      <c r="L8" s="85">
        <f t="shared" si="1"/>
        <v>262582.30371243396</v>
      </c>
      <c r="M8" s="80">
        <f t="shared" si="2"/>
        <v>1408153.95636</v>
      </c>
      <c r="N8" s="74">
        <v>4.5199999999999997E-2</v>
      </c>
      <c r="O8" s="90">
        <f t="shared" si="6"/>
        <v>1.0902481199999998</v>
      </c>
      <c r="P8" s="87">
        <f t="shared" si="3"/>
        <v>1291590.3550101973</v>
      </c>
    </row>
    <row r="9" spans="1:16" x14ac:dyDescent="0.2">
      <c r="A9" s="75" t="s">
        <v>189</v>
      </c>
      <c r="B9" s="94">
        <v>5.5804999999999998</v>
      </c>
      <c r="C9" s="95">
        <v>0.185</v>
      </c>
      <c r="D9" s="95">
        <v>0.06</v>
      </c>
      <c r="E9" s="95">
        <v>-1.4E-2</v>
      </c>
      <c r="F9" s="88">
        <f t="shared" si="4"/>
        <v>209189.2824</v>
      </c>
      <c r="G9" s="88">
        <f t="shared" si="4"/>
        <v>63771.720000000016</v>
      </c>
      <c r="H9" s="88">
        <f t="shared" si="4"/>
        <v>33797.871360000005</v>
      </c>
      <c r="I9" s="83">
        <f t="shared" si="0"/>
        <v>306758.87375999999</v>
      </c>
      <c r="J9" s="77">
        <v>4.7E-2</v>
      </c>
      <c r="K9" s="94">
        <f t="shared" si="5"/>
        <v>1.0804476295200001</v>
      </c>
      <c r="L9" s="85">
        <f t="shared" si="1"/>
        <v>283918.31809217884</v>
      </c>
      <c r="M9" s="96">
        <f t="shared" si="2"/>
        <v>1711867.8950176798</v>
      </c>
      <c r="N9" s="77">
        <v>0.10059999999999999</v>
      </c>
      <c r="O9" s="94">
        <f t="shared" si="6"/>
        <v>1.1999270808719997</v>
      </c>
      <c r="P9" s="87">
        <f t="shared" si="3"/>
        <v>1426643.2705007768</v>
      </c>
    </row>
    <row r="10" spans="1:16" x14ac:dyDescent="0.2">
      <c r="A10" s="72" t="s">
        <v>190</v>
      </c>
      <c r="B10" s="90">
        <v>5.2176999999999998</v>
      </c>
      <c r="C10" s="97">
        <v>-0.1807</v>
      </c>
      <c r="D10" s="97">
        <v>-0.127</v>
      </c>
      <c r="E10" s="97">
        <v>-0.10299999999999999</v>
      </c>
      <c r="F10" s="73">
        <f t="shared" si="4"/>
        <v>171388.77907032002</v>
      </c>
      <c r="G10" s="73">
        <f t="shared" si="4"/>
        <v>55672.711560000011</v>
      </c>
      <c r="H10" s="73">
        <f t="shared" si="4"/>
        <v>30316.690609920006</v>
      </c>
      <c r="I10" s="93">
        <f t="shared" si="0"/>
        <v>257378.18124024005</v>
      </c>
      <c r="J10" s="74">
        <v>0.08</v>
      </c>
      <c r="K10" s="90">
        <f t="shared" si="5"/>
        <v>1.1668834398816001</v>
      </c>
      <c r="L10" s="85">
        <f t="shared" si="1"/>
        <v>220568.88669733403</v>
      </c>
      <c r="M10" s="80">
        <f t="shared" si="2"/>
        <v>1342922.1362572005</v>
      </c>
      <c r="N10" s="74">
        <v>5.79E-2</v>
      </c>
      <c r="O10" s="90">
        <f t="shared" si="6"/>
        <v>1.2694028588544886</v>
      </c>
      <c r="P10" s="87">
        <f t="shared" si="3"/>
        <v>1057916.4265228265</v>
      </c>
    </row>
    <row r="11" spans="1:16" x14ac:dyDescent="0.2">
      <c r="A11" s="75" t="s">
        <v>191</v>
      </c>
      <c r="B11" s="94">
        <v>4.8413000000000004</v>
      </c>
      <c r="C11" s="95">
        <v>0.222</v>
      </c>
      <c r="D11" s="95">
        <v>3.9E-2</v>
      </c>
      <c r="E11" s="95">
        <v>7.0999999999999994E-2</v>
      </c>
      <c r="F11" s="88">
        <f t="shared" si="4"/>
        <v>209437.08802393105</v>
      </c>
      <c r="G11" s="88">
        <f t="shared" si="4"/>
        <v>57843.947310840005</v>
      </c>
      <c r="H11" s="88">
        <f t="shared" si="4"/>
        <v>32469.175643224324</v>
      </c>
      <c r="I11" s="83">
        <f t="shared" si="0"/>
        <v>299750.21097799536</v>
      </c>
      <c r="J11" s="77">
        <v>4.1200000000000001E-2</v>
      </c>
      <c r="K11" s="94">
        <f t="shared" si="5"/>
        <v>1.2149590376047219</v>
      </c>
      <c r="L11" s="85">
        <f t="shared" si="1"/>
        <v>246716.31034487346</v>
      </c>
      <c r="M11" s="96">
        <f t="shared" si="2"/>
        <v>1451180.6964077691</v>
      </c>
      <c r="N11" s="77">
        <v>4.6199999999999998E-2</v>
      </c>
      <c r="O11" s="94">
        <f t="shared" si="6"/>
        <v>1.3280492709335661</v>
      </c>
      <c r="P11" s="87">
        <f t="shared" si="3"/>
        <v>1092716.0069804087</v>
      </c>
    </row>
    <row r="12" spans="1:16" x14ac:dyDescent="0.2">
      <c r="A12" s="72" t="s">
        <v>192</v>
      </c>
      <c r="B12" s="90">
        <v>4.8022999999999998</v>
      </c>
      <c r="C12" s="97">
        <v>0.20100000000000001</v>
      </c>
      <c r="D12" s="97">
        <v>1.2E-2</v>
      </c>
      <c r="E12" s="97">
        <v>4.2000000000000003E-2</v>
      </c>
      <c r="F12" s="73">
        <f t="shared" si="4"/>
        <v>251533.94271674121</v>
      </c>
      <c r="G12" s="73">
        <f t="shared" si="4"/>
        <v>58538.074678570083</v>
      </c>
      <c r="H12" s="73">
        <f t="shared" si="4"/>
        <v>33832.881020239744</v>
      </c>
      <c r="I12" s="93">
        <f t="shared" si="0"/>
        <v>343904.898415551</v>
      </c>
      <c r="J12" s="74">
        <v>2.9000000000000001E-2</v>
      </c>
      <c r="K12" s="90">
        <f t="shared" si="5"/>
        <v>1.2501928496952588</v>
      </c>
      <c r="L12" s="85">
        <f t="shared" si="1"/>
        <v>275081.47922888829</v>
      </c>
      <c r="M12" s="80">
        <f t="shared" si="2"/>
        <v>1651534.4936610004</v>
      </c>
      <c r="N12" s="74">
        <v>4.4200000000000003E-2</v>
      </c>
      <c r="O12" s="90">
        <f t="shared" si="6"/>
        <v>1.3867490487088296</v>
      </c>
      <c r="P12" s="87">
        <f t="shared" si="3"/>
        <v>1190939.6982811752</v>
      </c>
    </row>
    <row r="13" spans="1:16" x14ac:dyDescent="0.2">
      <c r="A13" s="75" t="s">
        <v>193</v>
      </c>
      <c r="B13" s="94">
        <v>4.9044999999999996</v>
      </c>
      <c r="C13" s="95">
        <v>0.18</v>
      </c>
      <c r="D13" s="95">
        <v>1.7999999999999999E-2</v>
      </c>
      <c r="E13" s="95">
        <v>1.4999999999999999E-2</v>
      </c>
      <c r="F13" s="88">
        <f t="shared" si="4"/>
        <v>296810.05240575463</v>
      </c>
      <c r="G13" s="88">
        <f t="shared" si="4"/>
        <v>59591.760022784343</v>
      </c>
      <c r="H13" s="88">
        <f t="shared" si="4"/>
        <v>34340.374235543335</v>
      </c>
      <c r="I13" s="83">
        <f t="shared" si="0"/>
        <v>390742.18666408234</v>
      </c>
      <c r="J13" s="77">
        <v>2.5000000000000001E-2</v>
      </c>
      <c r="K13" s="94">
        <f t="shared" si="5"/>
        <v>1.2814476709376401</v>
      </c>
      <c r="L13" s="85">
        <f t="shared" si="1"/>
        <v>304922.46817864582</v>
      </c>
      <c r="M13" s="96">
        <f t="shared" si="2"/>
        <v>1916395.0544939917</v>
      </c>
      <c r="N13" s="77">
        <v>4.4999999999999998E-2</v>
      </c>
      <c r="O13" s="94">
        <f t="shared" si="6"/>
        <v>1.4491527559007269</v>
      </c>
      <c r="P13" s="87">
        <f t="shared" si="3"/>
        <v>1322424.4626322009</v>
      </c>
    </row>
    <row r="14" spans="1:16" x14ac:dyDescent="0.2">
      <c r="A14" s="72" t="s">
        <v>194</v>
      </c>
      <c r="B14" s="90">
        <v>5.1550000000000002</v>
      </c>
      <c r="C14" s="97">
        <v>6.2E-2</v>
      </c>
      <c r="D14" s="97">
        <v>8.0000000000000002E-3</v>
      </c>
      <c r="E14" s="97">
        <v>-5.0000000000000001E-3</v>
      </c>
      <c r="F14" s="73">
        <f t="shared" si="4"/>
        <v>315212.27565491141</v>
      </c>
      <c r="G14" s="73">
        <f t="shared" si="4"/>
        <v>60068.494102966615</v>
      </c>
      <c r="H14" s="73">
        <f t="shared" si="4"/>
        <v>34168.672364365615</v>
      </c>
      <c r="I14" s="93">
        <f t="shared" si="0"/>
        <v>409449.44212224364</v>
      </c>
      <c r="J14" s="74">
        <v>1.4999999999999999E-2</v>
      </c>
      <c r="K14" s="90">
        <f t="shared" si="5"/>
        <v>1.3006693860017047</v>
      </c>
      <c r="L14" s="85">
        <f t="shared" si="1"/>
        <v>314799.01543689211</v>
      </c>
      <c r="M14" s="80">
        <f t="shared" si="2"/>
        <v>2110711.8741401662</v>
      </c>
      <c r="N14" s="74">
        <v>0.02</v>
      </c>
      <c r="O14" s="90">
        <f t="shared" si="6"/>
        <v>1.4781358110187415</v>
      </c>
      <c r="P14" s="87">
        <f t="shared" si="3"/>
        <v>1427955.3058696608</v>
      </c>
    </row>
    <row r="16" spans="1:16" x14ac:dyDescent="0.2">
      <c r="A16" s="70" t="s">
        <v>195</v>
      </c>
    </row>
    <row r="17" spans="1:5" ht="16" x14ac:dyDescent="0.2">
      <c r="A17" s="137" t="s">
        <v>196</v>
      </c>
      <c r="B17" s="99">
        <f>I14</f>
        <v>409449.44212224364</v>
      </c>
      <c r="D17" s="98" t="s">
        <v>197</v>
      </c>
      <c r="E17" s="100">
        <f>M14</f>
        <v>2110711.8741401662</v>
      </c>
    </row>
    <row r="18" spans="1:5" ht="16" x14ac:dyDescent="0.2">
      <c r="A18" s="137" t="s">
        <v>198</v>
      </c>
      <c r="B18" s="101">
        <v>200000</v>
      </c>
      <c r="D18" s="98" t="s">
        <v>199</v>
      </c>
      <c r="E18" s="102">
        <f>B18*B6</f>
        <v>774960</v>
      </c>
    </row>
    <row r="19" spans="1:5" ht="16" x14ac:dyDescent="0.2">
      <c r="A19" s="138" t="s">
        <v>200</v>
      </c>
      <c r="B19" s="104">
        <f>E17-E18</f>
        <v>1335751.8741401662</v>
      </c>
      <c r="D19" s="105"/>
    </row>
    <row r="20" spans="1:5" ht="16" x14ac:dyDescent="0.2">
      <c r="A20" s="138" t="s">
        <v>201</v>
      </c>
      <c r="B20" s="104">
        <f>B19*$B$29</f>
        <v>200362.78112102492</v>
      </c>
      <c r="D20" s="105"/>
    </row>
    <row r="21" spans="1:5" x14ac:dyDescent="0.2">
      <c r="A21" s="125"/>
    </row>
    <row r="22" spans="1:5" ht="48" x14ac:dyDescent="0.2">
      <c r="A22" s="139" t="s">
        <v>202</v>
      </c>
    </row>
    <row r="23" spans="1:5" ht="16" x14ac:dyDescent="0.2">
      <c r="A23" s="137" t="s">
        <v>203</v>
      </c>
      <c r="B23" s="99">
        <f>L14</f>
        <v>314799.01543689211</v>
      </c>
      <c r="D23" s="98" t="s">
        <v>204</v>
      </c>
      <c r="E23" s="100">
        <f>P14</f>
        <v>1427955.3058696608</v>
      </c>
    </row>
    <row r="24" spans="1:5" ht="16" x14ac:dyDescent="0.2">
      <c r="A24" s="137" t="s">
        <v>205</v>
      </c>
      <c r="B24" s="101">
        <f>B18</f>
        <v>200000</v>
      </c>
      <c r="D24" s="98" t="s">
        <v>206</v>
      </c>
      <c r="E24" s="102">
        <f>E18</f>
        <v>774960</v>
      </c>
    </row>
    <row r="25" spans="1:5" ht="16" x14ac:dyDescent="0.2">
      <c r="A25" s="138" t="s">
        <v>207</v>
      </c>
      <c r="B25" s="104">
        <f>E23-E24</f>
        <v>652995.30586966081</v>
      </c>
      <c r="D25" s="103" t="s">
        <v>208</v>
      </c>
      <c r="E25" s="106">
        <f>B23-B24</f>
        <v>114799.01543689211</v>
      </c>
    </row>
    <row r="26" spans="1:5" ht="16" x14ac:dyDescent="0.2">
      <c r="A26" s="137" t="s">
        <v>209</v>
      </c>
      <c r="B26" s="102">
        <f>B20/O14</f>
        <v>135550.99580662584</v>
      </c>
      <c r="D26" s="98" t="s">
        <v>210</v>
      </c>
      <c r="E26" s="101">
        <f>(B20/B14)/K14</f>
        <v>29882.81205021904</v>
      </c>
    </row>
    <row r="27" spans="1:5" ht="32" x14ac:dyDescent="0.2">
      <c r="A27" s="138" t="s">
        <v>211</v>
      </c>
      <c r="B27" s="107">
        <f>E23-B26</f>
        <v>1292404.310063035</v>
      </c>
      <c r="D27" s="103" t="s">
        <v>212</v>
      </c>
      <c r="E27" s="108">
        <f>B23-E26</f>
        <v>284916.20338667306</v>
      </c>
    </row>
    <row r="28" spans="1:5" x14ac:dyDescent="0.2">
      <c r="A28" s="125"/>
    </row>
    <row r="29" spans="1:5" ht="32" x14ac:dyDescent="0.2">
      <c r="A29" s="125" t="s">
        <v>237</v>
      </c>
      <c r="B29" s="111">
        <v>0.15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zoomScaleNormal="100" zoomScalePageLayoutView="60" workbookViewId="0"/>
  </sheetViews>
  <sheetFormatPr baseColWidth="10" defaultColWidth="8.6640625" defaultRowHeight="15" x14ac:dyDescent="0.2"/>
  <cols>
    <col min="1" max="1" width="29.1640625" customWidth="1"/>
    <col min="2" max="2" width="17.5" customWidth="1"/>
    <col min="3" max="4" width="12.5" customWidth="1"/>
    <col min="5" max="5" width="17.5" customWidth="1"/>
    <col min="6" max="8" width="15.83203125" customWidth="1"/>
    <col min="9" max="9" width="17.5" customWidth="1"/>
    <col min="10" max="11" width="14.1640625" customWidth="1"/>
    <col min="12" max="12" width="17.5" customWidth="1"/>
    <col min="13" max="13" width="18.33203125" customWidth="1"/>
    <col min="14" max="15" width="14.1640625" customWidth="1"/>
    <col min="16" max="16" width="18.33203125" customWidth="1"/>
  </cols>
  <sheetData>
    <row r="1" spans="1:16" ht="110" x14ac:dyDescent="0.25">
      <c r="A1" s="134" t="s">
        <v>213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64" x14ac:dyDescent="0.2">
      <c r="A2" s="130" t="s">
        <v>214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4" spans="1:16" x14ac:dyDescent="0.2">
      <c r="A4" s="70" t="s">
        <v>174</v>
      </c>
    </row>
    <row r="5" spans="1:16" ht="32" x14ac:dyDescent="0.2">
      <c r="A5" s="89" t="s">
        <v>66</v>
      </c>
      <c r="B5" s="89" t="s">
        <v>175</v>
      </c>
      <c r="C5" s="89" t="s">
        <v>176</v>
      </c>
      <c r="D5" s="89" t="s">
        <v>177</v>
      </c>
      <c r="E5" s="89" t="s">
        <v>178</v>
      </c>
      <c r="F5" s="89" t="s">
        <v>68</v>
      </c>
      <c r="G5" s="89" t="s">
        <v>69</v>
      </c>
      <c r="H5" s="89" t="s">
        <v>70</v>
      </c>
      <c r="I5" s="89" t="s">
        <v>179</v>
      </c>
      <c r="J5" s="89" t="s">
        <v>180</v>
      </c>
      <c r="K5" s="89" t="s">
        <v>181</v>
      </c>
      <c r="L5" s="89" t="s">
        <v>182</v>
      </c>
      <c r="M5" s="89" t="s">
        <v>183</v>
      </c>
      <c r="N5" s="89" t="s">
        <v>184</v>
      </c>
      <c r="O5" s="89" t="s">
        <v>185</v>
      </c>
      <c r="P5" s="89" t="s">
        <v>186</v>
      </c>
    </row>
    <row r="6" spans="1:16" x14ac:dyDescent="0.2">
      <c r="A6" s="72" t="s">
        <v>75</v>
      </c>
      <c r="B6" s="90">
        <v>3.8748</v>
      </c>
      <c r="C6" s="91"/>
      <c r="D6" s="91"/>
      <c r="E6" s="91"/>
      <c r="F6" s="92">
        <v>120000</v>
      </c>
      <c r="G6" s="92">
        <v>50000</v>
      </c>
      <c r="H6" s="92">
        <v>30000</v>
      </c>
      <c r="I6" s="93">
        <f t="shared" ref="I6:I15" si="0">F6+G6+H6</f>
        <v>200000</v>
      </c>
      <c r="J6" s="74">
        <v>0</v>
      </c>
      <c r="K6" s="90">
        <v>1</v>
      </c>
      <c r="L6" s="85">
        <f t="shared" ref="L6:L15" si="1">I6/K6</f>
        <v>200000</v>
      </c>
      <c r="M6" s="80">
        <f t="shared" ref="M6:M15" si="2">I6*B6</f>
        <v>774960</v>
      </c>
      <c r="N6" s="74">
        <v>0</v>
      </c>
      <c r="O6" s="90">
        <v>1</v>
      </c>
      <c r="P6" s="87">
        <f t="shared" ref="P6:P15" si="3">M6/O6</f>
        <v>774960</v>
      </c>
    </row>
    <row r="7" spans="1:16" x14ac:dyDescent="0.2">
      <c r="A7" s="75" t="s">
        <v>187</v>
      </c>
      <c r="B7" s="94">
        <v>4.0307000000000004</v>
      </c>
      <c r="C7" s="95">
        <v>0.26600000000000001</v>
      </c>
      <c r="D7" s="95">
        <v>8.4000000000000005E-2</v>
      </c>
      <c r="E7" s="95">
        <v>8.2000000000000003E-2</v>
      </c>
      <c r="F7" s="88">
        <f t="shared" ref="F7:H9" si="4">F6*(1+C7)</f>
        <v>151920</v>
      </c>
      <c r="G7" s="88">
        <f t="shared" si="4"/>
        <v>54200.000000000007</v>
      </c>
      <c r="H7" s="88">
        <f t="shared" si="4"/>
        <v>32460.000000000004</v>
      </c>
      <c r="I7" s="83">
        <f t="shared" si="0"/>
        <v>238580</v>
      </c>
      <c r="J7" s="77">
        <v>1.8100000000000002E-2</v>
      </c>
      <c r="K7" s="94">
        <f>K6*(1+J7)</f>
        <v>1.0181</v>
      </c>
      <c r="L7" s="85">
        <f t="shared" si="1"/>
        <v>234338.47362734505</v>
      </c>
      <c r="M7" s="96">
        <f t="shared" si="2"/>
        <v>961644.40600000008</v>
      </c>
      <c r="N7" s="77">
        <v>4.3099999999999999E-2</v>
      </c>
      <c r="O7" s="94">
        <f>O6*(1+N7)</f>
        <v>1.0430999999999999</v>
      </c>
      <c r="P7" s="87">
        <f t="shared" si="3"/>
        <v>921910.08148787287</v>
      </c>
    </row>
    <row r="8" spans="1:16" x14ac:dyDescent="0.2">
      <c r="A8" s="72" t="s">
        <v>188</v>
      </c>
      <c r="B8" s="90">
        <v>5.1966999999999999</v>
      </c>
      <c r="C8" s="97">
        <v>0.16200000000000001</v>
      </c>
      <c r="D8" s="97">
        <v>0.11</v>
      </c>
      <c r="E8" s="97">
        <v>5.6000000000000001E-2</v>
      </c>
      <c r="F8" s="73">
        <f t="shared" si="4"/>
        <v>176531.03999999998</v>
      </c>
      <c r="G8" s="73">
        <f t="shared" si="4"/>
        <v>60162.000000000015</v>
      </c>
      <c r="H8" s="73">
        <f t="shared" si="4"/>
        <v>34277.760000000002</v>
      </c>
      <c r="I8" s="93">
        <f t="shared" si="0"/>
        <v>270970.8</v>
      </c>
      <c r="J8" s="74">
        <v>1.3599999999999999E-2</v>
      </c>
      <c r="K8" s="90">
        <f>K7*(1+J8)</f>
        <v>1.0319461600000002</v>
      </c>
      <c r="L8" s="85">
        <f t="shared" si="1"/>
        <v>262582.30371243396</v>
      </c>
      <c r="M8" s="80">
        <f t="shared" si="2"/>
        <v>1408153.95636</v>
      </c>
      <c r="N8" s="74">
        <v>4.5199999999999997E-2</v>
      </c>
      <c r="O8" s="90">
        <f>O7*(1+N8)</f>
        <v>1.0902481199999998</v>
      </c>
      <c r="P8" s="87">
        <f t="shared" si="3"/>
        <v>1291590.3550101973</v>
      </c>
    </row>
    <row r="9" spans="1:16" x14ac:dyDescent="0.2">
      <c r="A9" s="75" t="s">
        <v>215</v>
      </c>
      <c r="B9" s="94">
        <v>5.5804999999999998</v>
      </c>
      <c r="C9" s="95">
        <v>0.185</v>
      </c>
      <c r="D9" s="95">
        <v>0.06</v>
      </c>
      <c r="E9" s="95">
        <v>-1.4E-2</v>
      </c>
      <c r="F9" s="88">
        <f t="shared" si="4"/>
        <v>209189.2824</v>
      </c>
      <c r="G9" s="88">
        <f t="shared" si="4"/>
        <v>63771.720000000016</v>
      </c>
      <c r="H9" s="88">
        <f t="shared" si="4"/>
        <v>33797.871360000005</v>
      </c>
      <c r="I9" s="83">
        <f t="shared" si="0"/>
        <v>306758.87375999999</v>
      </c>
      <c r="J9" s="77">
        <v>4.7E-2</v>
      </c>
      <c r="K9" s="94">
        <f>K8*(1+J9)</f>
        <v>1.0804476295200001</v>
      </c>
      <c r="L9" s="85">
        <f t="shared" si="1"/>
        <v>283918.31809217884</v>
      </c>
      <c r="M9" s="96">
        <f t="shared" si="2"/>
        <v>1711867.8950176798</v>
      </c>
      <c r="N9" s="77">
        <v>0.10059999999999999</v>
      </c>
      <c r="O9" s="94">
        <f>O8*(1+N9)</f>
        <v>1.1999270808719997</v>
      </c>
      <c r="P9" s="87">
        <f t="shared" si="3"/>
        <v>1426643.2705007768</v>
      </c>
    </row>
    <row r="10" spans="1:16" x14ac:dyDescent="0.2">
      <c r="A10" s="72" t="s">
        <v>216</v>
      </c>
      <c r="B10" s="90">
        <v>5.5804999999999998</v>
      </c>
      <c r="C10" s="91"/>
      <c r="D10" s="91"/>
      <c r="E10" s="91"/>
      <c r="F10" s="73">
        <f>F9-B18</f>
        <v>184055.32</v>
      </c>
      <c r="G10" s="73">
        <f>G9+(B18*$G$36)</f>
        <v>76689.720000000016</v>
      </c>
      <c r="H10" s="73">
        <f>H9+(B18*$H$36)</f>
        <v>46013.833760000009</v>
      </c>
      <c r="I10" s="93">
        <f t="shared" si="0"/>
        <v>306758.87376000005</v>
      </c>
      <c r="J10" s="74">
        <v>0</v>
      </c>
      <c r="K10" s="90">
        <f>K9</f>
        <v>1.0804476295200001</v>
      </c>
      <c r="L10" s="85">
        <f t="shared" si="1"/>
        <v>283918.3180921789</v>
      </c>
      <c r="M10" s="80">
        <f t="shared" si="2"/>
        <v>1711867.8950176802</v>
      </c>
      <c r="N10" s="74">
        <v>0</v>
      </c>
      <c r="O10" s="90">
        <f>O9</f>
        <v>1.1999270808719997</v>
      </c>
      <c r="P10" s="87">
        <f t="shared" si="3"/>
        <v>1426643.2705007773</v>
      </c>
    </row>
    <row r="11" spans="1:16" x14ac:dyDescent="0.2">
      <c r="A11" s="75" t="s">
        <v>190</v>
      </c>
      <c r="B11" s="94">
        <v>5.2176999999999998</v>
      </c>
      <c r="C11" s="95">
        <v>-0.1807</v>
      </c>
      <c r="D11" s="95">
        <v>-0.127</v>
      </c>
      <c r="E11" s="95">
        <v>-0.10299999999999999</v>
      </c>
      <c r="F11" s="88">
        <f t="shared" ref="F11:H15" si="5">F10*(1+C11)</f>
        <v>150796.52367600001</v>
      </c>
      <c r="G11" s="88">
        <f t="shared" si="5"/>
        <v>66950.125560000015</v>
      </c>
      <c r="H11" s="88">
        <f t="shared" si="5"/>
        <v>41274.40888272001</v>
      </c>
      <c r="I11" s="83">
        <f t="shared" si="0"/>
        <v>259021.05811872004</v>
      </c>
      <c r="J11" s="77">
        <v>0.08</v>
      </c>
      <c r="K11" s="94">
        <f>K10*(1+J11)</f>
        <v>1.1668834398816001</v>
      </c>
      <c r="L11" s="85">
        <f t="shared" si="1"/>
        <v>221976.80527971333</v>
      </c>
      <c r="M11" s="96">
        <f t="shared" si="2"/>
        <v>1351494.1749460455</v>
      </c>
      <c r="N11" s="77">
        <v>5.79E-2</v>
      </c>
      <c r="O11" s="94">
        <f>O10*(1+N11)</f>
        <v>1.2694028588544886</v>
      </c>
      <c r="P11" s="87">
        <f t="shared" si="3"/>
        <v>1064669.2383894867</v>
      </c>
    </row>
    <row r="12" spans="1:16" x14ac:dyDescent="0.2">
      <c r="A12" s="72" t="s">
        <v>191</v>
      </c>
      <c r="B12" s="90">
        <v>4.8413000000000004</v>
      </c>
      <c r="C12" s="97">
        <v>0.222</v>
      </c>
      <c r="D12" s="97">
        <v>3.9E-2</v>
      </c>
      <c r="E12" s="97">
        <v>7.0999999999999994E-2</v>
      </c>
      <c r="F12" s="73">
        <f t="shared" si="5"/>
        <v>184273.35193207202</v>
      </c>
      <c r="G12" s="73">
        <f t="shared" si="5"/>
        <v>69561.180456840011</v>
      </c>
      <c r="H12" s="73">
        <f t="shared" si="5"/>
        <v>44204.891913393127</v>
      </c>
      <c r="I12" s="93">
        <f t="shared" si="0"/>
        <v>298039.42430230515</v>
      </c>
      <c r="J12" s="74">
        <v>4.1200000000000001E-2</v>
      </c>
      <c r="K12" s="90">
        <f>K11*(1+J12)</f>
        <v>1.2149590376047219</v>
      </c>
      <c r="L12" s="85">
        <f t="shared" si="1"/>
        <v>245308.20799513251</v>
      </c>
      <c r="M12" s="80">
        <f t="shared" si="2"/>
        <v>1442898.26487475</v>
      </c>
      <c r="N12" s="74">
        <v>4.6199999999999998E-2</v>
      </c>
      <c r="O12" s="90">
        <f>O11*(1+N12)</f>
        <v>1.3280492709335661</v>
      </c>
      <c r="P12" s="87">
        <f t="shared" si="3"/>
        <v>1086479.4676333428</v>
      </c>
    </row>
    <row r="13" spans="1:16" x14ac:dyDescent="0.2">
      <c r="A13" s="75" t="s">
        <v>192</v>
      </c>
      <c r="B13" s="94">
        <v>4.8022999999999998</v>
      </c>
      <c r="C13" s="95">
        <v>0.20100000000000001</v>
      </c>
      <c r="D13" s="95">
        <v>1.2E-2</v>
      </c>
      <c r="E13" s="95">
        <v>4.2000000000000003E-2</v>
      </c>
      <c r="F13" s="88">
        <f t="shared" si="5"/>
        <v>221312.29567041851</v>
      </c>
      <c r="G13" s="88">
        <f t="shared" si="5"/>
        <v>70395.914622322089</v>
      </c>
      <c r="H13" s="88">
        <f t="shared" si="5"/>
        <v>46061.497373755643</v>
      </c>
      <c r="I13" s="83">
        <f t="shared" si="0"/>
        <v>337769.70766649628</v>
      </c>
      <c r="J13" s="77">
        <v>2.9000000000000001E-2</v>
      </c>
      <c r="K13" s="94">
        <f>K12*(1+J13)</f>
        <v>1.2501928496952588</v>
      </c>
      <c r="L13" s="85">
        <f t="shared" si="1"/>
        <v>270174.08374142396</v>
      </c>
      <c r="M13" s="96">
        <f t="shared" si="2"/>
        <v>1622071.4671268151</v>
      </c>
      <c r="N13" s="77">
        <v>4.4200000000000003E-2</v>
      </c>
      <c r="O13" s="94">
        <f>O12*(1+N13)</f>
        <v>1.3867490487088296</v>
      </c>
      <c r="P13" s="87">
        <f t="shared" si="3"/>
        <v>1169693.5856109574</v>
      </c>
    </row>
    <row r="14" spans="1:16" x14ac:dyDescent="0.2">
      <c r="A14" s="72" t="s">
        <v>193</v>
      </c>
      <c r="B14" s="90">
        <v>4.9044999999999996</v>
      </c>
      <c r="C14" s="97">
        <v>0.18</v>
      </c>
      <c r="D14" s="97">
        <v>1.7999999999999999E-2</v>
      </c>
      <c r="E14" s="97">
        <v>1.4999999999999999E-2</v>
      </c>
      <c r="F14" s="73">
        <f t="shared" si="5"/>
        <v>261148.50889109384</v>
      </c>
      <c r="G14" s="73">
        <f t="shared" si="5"/>
        <v>71663.041085523888</v>
      </c>
      <c r="H14" s="73">
        <f t="shared" si="5"/>
        <v>46752.419834361972</v>
      </c>
      <c r="I14" s="93">
        <f t="shared" si="0"/>
        <v>379563.96981097973</v>
      </c>
      <c r="J14" s="74">
        <v>2.5000000000000001E-2</v>
      </c>
      <c r="K14" s="90">
        <f>K13*(1+J14)</f>
        <v>1.2814476709376401</v>
      </c>
      <c r="L14" s="85">
        <f t="shared" si="1"/>
        <v>296199.35204474744</v>
      </c>
      <c r="M14" s="80">
        <f t="shared" si="2"/>
        <v>1861571.4899379499</v>
      </c>
      <c r="N14" s="74">
        <v>4.4999999999999998E-2</v>
      </c>
      <c r="O14" s="90">
        <f>O13*(1+N14)</f>
        <v>1.4491527559007269</v>
      </c>
      <c r="P14" s="87">
        <f t="shared" si="3"/>
        <v>1284593.0026064659</v>
      </c>
    </row>
    <row r="15" spans="1:16" x14ac:dyDescent="0.2">
      <c r="A15" s="75" t="s">
        <v>194</v>
      </c>
      <c r="B15" s="94">
        <v>5.1550000000000002</v>
      </c>
      <c r="C15" s="95">
        <v>6.2E-2</v>
      </c>
      <c r="D15" s="95">
        <v>8.0000000000000002E-3</v>
      </c>
      <c r="E15" s="95">
        <v>-5.0000000000000001E-3</v>
      </c>
      <c r="F15" s="88">
        <f t="shared" si="5"/>
        <v>277339.71644234168</v>
      </c>
      <c r="G15" s="88">
        <f t="shared" si="5"/>
        <v>72236.345414208074</v>
      </c>
      <c r="H15" s="88">
        <f t="shared" si="5"/>
        <v>46518.657735190165</v>
      </c>
      <c r="I15" s="83">
        <f t="shared" si="0"/>
        <v>396094.71959173994</v>
      </c>
      <c r="J15" s="77">
        <v>1.4999999999999999E-2</v>
      </c>
      <c r="K15" s="94">
        <f>K14*(1+J15)</f>
        <v>1.3006693860017047</v>
      </c>
      <c r="L15" s="85">
        <f t="shared" si="1"/>
        <v>304531.43885345571</v>
      </c>
      <c r="M15" s="96">
        <f t="shared" si="2"/>
        <v>2041868.2794954195</v>
      </c>
      <c r="N15" s="77">
        <v>0.02</v>
      </c>
      <c r="O15" s="94">
        <f>O14*(1+N15)</f>
        <v>1.4781358110187415</v>
      </c>
      <c r="P15" s="87">
        <f t="shared" si="3"/>
        <v>1381380.6987655279</v>
      </c>
    </row>
    <row r="17" spans="1:5" ht="48" x14ac:dyDescent="0.2">
      <c r="A17" s="139" t="s">
        <v>217</v>
      </c>
    </row>
    <row r="18" spans="1:5" ht="16" x14ac:dyDescent="0.2">
      <c r="A18" s="137" t="s">
        <v>218</v>
      </c>
      <c r="B18" s="115">
        <v>25133.9624</v>
      </c>
      <c r="D18" s="98" t="s">
        <v>219</v>
      </c>
      <c r="E18" s="109">
        <f>B18/F9</f>
        <v>0.12014937912517071</v>
      </c>
    </row>
    <row r="19" spans="1:5" ht="16" x14ac:dyDescent="0.2">
      <c r="A19" s="137" t="s">
        <v>220</v>
      </c>
      <c r="B19" s="102">
        <f>(F6*B6)*E18</f>
        <v>55866.577708105375</v>
      </c>
      <c r="D19" s="98" t="s">
        <v>221</v>
      </c>
      <c r="E19" s="100">
        <f>B18*B9</f>
        <v>140260.0771732</v>
      </c>
    </row>
    <row r="20" spans="1:5" ht="16" x14ac:dyDescent="0.2">
      <c r="A20" s="138" t="s">
        <v>222</v>
      </c>
      <c r="B20" s="104">
        <f>E19-B19</f>
        <v>84393.499465094617</v>
      </c>
      <c r="D20" s="103" t="s">
        <v>223</v>
      </c>
      <c r="E20" s="104">
        <f>B20*$B$35</f>
        <v>12659.024919764192</v>
      </c>
    </row>
    <row r="21" spans="1:5" x14ac:dyDescent="0.2">
      <c r="A21" s="125"/>
    </row>
    <row r="22" spans="1:5" ht="48" x14ac:dyDescent="0.2">
      <c r="A22" s="139" t="s">
        <v>224</v>
      </c>
    </row>
    <row r="23" spans="1:5" ht="16" x14ac:dyDescent="0.2">
      <c r="A23" s="137" t="s">
        <v>196</v>
      </c>
      <c r="B23" s="99">
        <f>I15</f>
        <v>396094.71959173994</v>
      </c>
      <c r="D23" s="98" t="s">
        <v>197</v>
      </c>
      <c r="E23" s="100">
        <f>M15</f>
        <v>2041868.2794954195</v>
      </c>
    </row>
    <row r="24" spans="1:5" ht="16" x14ac:dyDescent="0.2">
      <c r="A24" s="137" t="s">
        <v>225</v>
      </c>
      <c r="B24" s="100">
        <f>((F6*B6)-B19) + ((G6*B6)+(G10-G9)*B10) + ((H6*B6)+(H10-H9)*B10)</f>
        <v>859353.49946509465</v>
      </c>
      <c r="D24" s="98" t="s">
        <v>198</v>
      </c>
      <c r="E24" s="101">
        <v>200000</v>
      </c>
    </row>
    <row r="25" spans="1:5" ht="16" x14ac:dyDescent="0.2">
      <c r="A25" s="138" t="s">
        <v>226</v>
      </c>
      <c r="B25" s="104">
        <f>E23-B24</f>
        <v>1182514.7800303248</v>
      </c>
      <c r="D25" s="105"/>
    </row>
    <row r="26" spans="1:5" ht="16" x14ac:dyDescent="0.2">
      <c r="A26" s="138" t="s">
        <v>227</v>
      </c>
      <c r="B26" s="104">
        <f>B25*$B$35</f>
        <v>177377.21700454873</v>
      </c>
      <c r="D26" s="103" t="s">
        <v>228</v>
      </c>
      <c r="E26" s="104">
        <f>E20+B26</f>
        <v>190036.24192431293</v>
      </c>
    </row>
    <row r="27" spans="1:5" x14ac:dyDescent="0.2">
      <c r="A27" s="125"/>
    </row>
    <row r="28" spans="1:5" ht="48" x14ac:dyDescent="0.2">
      <c r="A28" s="139" t="s">
        <v>229</v>
      </c>
    </row>
    <row r="29" spans="1:5" ht="16" x14ac:dyDescent="0.2">
      <c r="A29" s="137" t="s">
        <v>203</v>
      </c>
      <c r="B29" s="99">
        <f>L15</f>
        <v>304531.43885345571</v>
      </c>
      <c r="D29" s="98" t="s">
        <v>204</v>
      </c>
      <c r="E29" s="100">
        <f>P15</f>
        <v>1381380.6987655279</v>
      </c>
    </row>
    <row r="30" spans="1:5" ht="16" x14ac:dyDescent="0.2">
      <c r="A30" s="137" t="s">
        <v>205</v>
      </c>
      <c r="B30" s="101">
        <f>E24</f>
        <v>200000</v>
      </c>
      <c r="D30" s="98" t="s">
        <v>206</v>
      </c>
      <c r="E30" s="102">
        <f>E24*B6</f>
        <v>774960</v>
      </c>
    </row>
    <row r="31" spans="1:5" ht="16" x14ac:dyDescent="0.2">
      <c r="A31" s="138" t="s">
        <v>207</v>
      </c>
      <c r="B31" s="104">
        <f>E29-E30</f>
        <v>606420.69876552792</v>
      </c>
      <c r="D31" s="103" t="s">
        <v>208</v>
      </c>
      <c r="E31" s="106">
        <f>B29-B30</f>
        <v>104531.43885345571</v>
      </c>
    </row>
    <row r="32" spans="1:5" ht="16" x14ac:dyDescent="0.2">
      <c r="A32" s="137" t="s">
        <v>230</v>
      </c>
      <c r="B32" s="102">
        <f>(E20/O9)+(B26/O15)</f>
        <v>130550.45069404534</v>
      </c>
      <c r="D32" s="98" t="s">
        <v>231</v>
      </c>
      <c r="E32" s="101">
        <f>((E20/B10)/K9)+((B26/B15)/K15)</f>
        <v>28554.200387623823</v>
      </c>
    </row>
    <row r="33" spans="1:8" ht="32" x14ac:dyDescent="0.2">
      <c r="A33" s="138" t="s">
        <v>211</v>
      </c>
      <c r="B33" s="107">
        <f>E29-B32</f>
        <v>1250830.2480714826</v>
      </c>
      <c r="D33" s="103" t="s">
        <v>212</v>
      </c>
      <c r="E33" s="108">
        <f>B29-E32</f>
        <v>275977.23846583191</v>
      </c>
    </row>
    <row r="34" spans="1:8" x14ac:dyDescent="0.2">
      <c r="A34" s="125"/>
    </row>
    <row r="35" spans="1:8" ht="32" x14ac:dyDescent="0.2">
      <c r="A35" s="125" t="s">
        <v>237</v>
      </c>
      <c r="B35" s="111">
        <v>0.15</v>
      </c>
      <c r="G35" s="123" t="s">
        <v>42</v>
      </c>
      <c r="H35" s="123" t="s">
        <v>44</v>
      </c>
    </row>
    <row r="36" spans="1:8" ht="32" x14ac:dyDescent="0.2">
      <c r="A36" s="125" t="s">
        <v>239</v>
      </c>
      <c r="G36" s="113">
        <v>0.51396591569660344</v>
      </c>
      <c r="H36" s="114">
        <f>1-$G$36</f>
        <v>0.48603408430339656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0517-D977-E34E-B4D3-D26B007E63CB}">
  <dimension ref="A1:AF9"/>
  <sheetViews>
    <sheetView workbookViewId="0"/>
  </sheetViews>
  <sheetFormatPr baseColWidth="10" defaultRowHeight="15" x14ac:dyDescent="0.2"/>
  <cols>
    <col min="1" max="1" width="9.6640625" bestFit="1" customWidth="1"/>
    <col min="2" max="2" width="33.33203125" customWidth="1"/>
    <col min="3" max="3" width="12.5" bestFit="1" customWidth="1"/>
    <col min="4" max="4" width="15.5" bestFit="1" customWidth="1"/>
    <col min="5" max="5" width="19" bestFit="1" customWidth="1"/>
    <col min="6" max="6" width="14.1640625" bestFit="1" customWidth="1"/>
    <col min="7" max="7" width="8.1640625" bestFit="1" customWidth="1"/>
    <col min="8" max="8" width="5.5" bestFit="1" customWidth="1"/>
    <col min="9" max="9" width="21.5" bestFit="1" customWidth="1"/>
    <col min="10" max="10" width="48.5" bestFit="1" customWidth="1"/>
    <col min="11" max="11" width="8.6640625" bestFit="1" customWidth="1"/>
    <col min="12" max="12" width="14.5" bestFit="1" customWidth="1"/>
    <col min="13" max="13" width="11.6640625" bestFit="1" customWidth="1"/>
    <col min="14" max="14" width="8.33203125" bestFit="1" customWidth="1"/>
    <col min="15" max="15" width="17.5" bestFit="1" customWidth="1"/>
    <col min="16" max="16" width="12.83203125" bestFit="1" customWidth="1"/>
    <col min="17" max="17" width="7.83203125" bestFit="1" customWidth="1"/>
    <col min="18" max="18" width="8.1640625" bestFit="1" customWidth="1"/>
    <col min="19" max="19" width="9.83203125" bestFit="1" customWidth="1"/>
    <col min="20" max="20" width="15.83203125" bestFit="1" customWidth="1"/>
    <col min="21" max="21" width="8.83203125" bestFit="1" customWidth="1"/>
    <col min="22" max="22" width="15" bestFit="1" customWidth="1"/>
    <col min="23" max="23" width="11.1640625" bestFit="1" customWidth="1"/>
    <col min="24" max="24" width="9.33203125" bestFit="1" customWidth="1"/>
    <col min="25" max="25" width="14" bestFit="1" customWidth="1"/>
    <col min="26" max="26" width="5.5" bestFit="1" customWidth="1"/>
    <col min="27" max="27" width="4.5" bestFit="1" customWidth="1"/>
    <col min="28" max="28" width="9.1640625" bestFit="1" customWidth="1"/>
    <col min="29" max="29" width="12.5" bestFit="1" customWidth="1"/>
    <col min="30" max="30" width="24.33203125" bestFit="1" customWidth="1"/>
    <col min="31" max="31" width="88" bestFit="1" customWidth="1"/>
    <col min="32" max="32" width="33.33203125" customWidth="1"/>
  </cols>
  <sheetData>
    <row r="1" spans="1:32" ht="16" x14ac:dyDescent="0.2">
      <c r="A1" s="140" t="s">
        <v>30</v>
      </c>
      <c r="B1" s="140" t="s">
        <v>249</v>
      </c>
      <c r="C1" s="140" t="s">
        <v>32</v>
      </c>
      <c r="D1" s="140" t="s">
        <v>250</v>
      </c>
      <c r="E1" s="140" t="s">
        <v>251</v>
      </c>
      <c r="F1" s="140" t="s">
        <v>252</v>
      </c>
      <c r="G1" s="140" t="s">
        <v>253</v>
      </c>
      <c r="H1" s="140" t="s">
        <v>254</v>
      </c>
      <c r="I1" s="140" t="s">
        <v>255</v>
      </c>
      <c r="J1" s="140" t="s">
        <v>256</v>
      </c>
      <c r="K1" s="140" t="s">
        <v>257</v>
      </c>
      <c r="L1" s="140" t="s">
        <v>258</v>
      </c>
      <c r="M1" s="140" t="s">
        <v>259</v>
      </c>
      <c r="N1" s="140" t="s">
        <v>260</v>
      </c>
      <c r="O1" s="140" t="s">
        <v>261</v>
      </c>
      <c r="P1" s="140" t="s">
        <v>262</v>
      </c>
      <c r="Q1" s="140" t="s">
        <v>263</v>
      </c>
      <c r="R1" s="140" t="s">
        <v>264</v>
      </c>
      <c r="S1" s="140" t="s">
        <v>265</v>
      </c>
      <c r="T1" s="140" t="s">
        <v>266</v>
      </c>
      <c r="U1" s="140" t="s">
        <v>267</v>
      </c>
      <c r="V1" s="140" t="s">
        <v>268</v>
      </c>
      <c r="W1" s="140" t="s">
        <v>269</v>
      </c>
      <c r="X1" s="140" t="s">
        <v>270</v>
      </c>
      <c r="Y1" s="140" t="s">
        <v>271</v>
      </c>
      <c r="Z1" s="140" t="s">
        <v>272</v>
      </c>
      <c r="AA1" s="140" t="s">
        <v>273</v>
      </c>
      <c r="AB1" s="140" t="s">
        <v>274</v>
      </c>
      <c r="AC1" s="140" t="s">
        <v>275</v>
      </c>
      <c r="AD1" s="140" t="s">
        <v>276</v>
      </c>
      <c r="AE1" s="140" t="s">
        <v>277</v>
      </c>
      <c r="AF1" s="161" t="s">
        <v>278</v>
      </c>
    </row>
    <row r="2" spans="1:32" ht="48" x14ac:dyDescent="0.2">
      <c r="A2" t="s">
        <v>38</v>
      </c>
      <c r="B2" t="s">
        <v>279</v>
      </c>
      <c r="C2" t="s">
        <v>244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s="122">
        <v>43669</v>
      </c>
      <c r="L2" t="s">
        <v>287</v>
      </c>
      <c r="M2" t="s">
        <v>288</v>
      </c>
      <c r="N2" s="114">
        <v>1.4E-3</v>
      </c>
      <c r="O2" s="141">
        <v>53360000000</v>
      </c>
      <c r="P2" s="141">
        <v>79550000000</v>
      </c>
      <c r="Q2" s="142">
        <v>3782</v>
      </c>
      <c r="R2" s="143">
        <v>190.57</v>
      </c>
      <c r="S2" s="114"/>
      <c r="T2" s="114"/>
      <c r="U2" s="114"/>
      <c r="V2" s="162"/>
      <c r="W2" s="162"/>
      <c r="X2" s="114"/>
      <c r="Y2" s="114">
        <v>6.9999999999999999E-4</v>
      </c>
      <c r="Z2" s="144">
        <v>23.2</v>
      </c>
      <c r="AA2" s="144">
        <v>3.6</v>
      </c>
      <c r="AB2" s="145">
        <v>0.61699999999999999</v>
      </c>
      <c r="AC2" s="145">
        <v>0.2269921</v>
      </c>
      <c r="AD2" t="s">
        <v>289</v>
      </c>
      <c r="AE2" t="s">
        <v>290</v>
      </c>
      <c r="AF2" s="125" t="s">
        <v>291</v>
      </c>
    </row>
    <row r="3" spans="1:32" ht="48" x14ac:dyDescent="0.2">
      <c r="A3" t="s">
        <v>42</v>
      </c>
      <c r="B3" t="s">
        <v>292</v>
      </c>
      <c r="C3" t="s">
        <v>246</v>
      </c>
      <c r="D3" t="s">
        <v>293</v>
      </c>
      <c r="E3" t="s">
        <v>281</v>
      </c>
      <c r="F3" t="s">
        <v>294</v>
      </c>
      <c r="G3" t="s">
        <v>283</v>
      </c>
      <c r="H3" t="s">
        <v>284</v>
      </c>
      <c r="I3" t="s">
        <v>285</v>
      </c>
      <c r="J3" t="s">
        <v>295</v>
      </c>
      <c r="K3" s="122">
        <v>39059</v>
      </c>
      <c r="L3" t="s">
        <v>287</v>
      </c>
      <c r="M3" t="s">
        <v>288</v>
      </c>
      <c r="N3" s="114">
        <v>1E-3</v>
      </c>
      <c r="O3" s="141">
        <v>3534875907</v>
      </c>
      <c r="P3" s="141">
        <v>6320846497</v>
      </c>
      <c r="Q3" s="142">
        <v>48</v>
      </c>
      <c r="R3" s="143">
        <v>256.12</v>
      </c>
      <c r="S3" s="114">
        <v>3.8999999999999998E-3</v>
      </c>
      <c r="T3" s="114">
        <v>4.5400000000000003E-2</v>
      </c>
      <c r="U3" s="114">
        <v>2.2599999999999999E-2</v>
      </c>
      <c r="V3" s="162">
        <v>6.55</v>
      </c>
      <c r="W3" s="162">
        <v>7.39</v>
      </c>
      <c r="X3" s="114">
        <v>4.3900000000000002E-2</v>
      </c>
      <c r="Y3" s="114"/>
      <c r="Z3" s="144"/>
      <c r="AA3" s="144"/>
      <c r="AB3" s="145"/>
      <c r="AC3" s="145"/>
      <c r="AD3" s="122">
        <v>46244</v>
      </c>
      <c r="AE3" t="s">
        <v>296</v>
      </c>
      <c r="AF3" s="125" t="s">
        <v>297</v>
      </c>
    </row>
    <row r="4" spans="1:32" ht="48" x14ac:dyDescent="0.2">
      <c r="A4" t="s">
        <v>44</v>
      </c>
      <c r="B4" t="s">
        <v>298</v>
      </c>
      <c r="C4" t="s">
        <v>45</v>
      </c>
      <c r="D4" t="s">
        <v>293</v>
      </c>
      <c r="E4" t="s">
        <v>281</v>
      </c>
      <c r="F4" t="s">
        <v>282</v>
      </c>
      <c r="G4" t="s">
        <v>283</v>
      </c>
      <c r="H4" t="s">
        <v>284</v>
      </c>
      <c r="I4" t="s">
        <v>299</v>
      </c>
      <c r="J4" t="s">
        <v>300</v>
      </c>
      <c r="K4" s="122">
        <v>43060</v>
      </c>
      <c r="L4" t="s">
        <v>287</v>
      </c>
      <c r="M4" t="s">
        <v>288</v>
      </c>
      <c r="N4" s="114">
        <v>1E-3</v>
      </c>
      <c r="O4" s="141">
        <v>4110903665</v>
      </c>
      <c r="P4" s="141">
        <v>14156659760</v>
      </c>
      <c r="Q4" s="142">
        <v>19980</v>
      </c>
      <c r="R4" s="143">
        <v>5.83</v>
      </c>
      <c r="S4" s="114">
        <v>5.1000000000000004E-3</v>
      </c>
      <c r="T4" s="114">
        <v>3.9699999999999999E-2</v>
      </c>
      <c r="U4" s="114"/>
      <c r="V4" s="162">
        <v>6.08</v>
      </c>
      <c r="W4" s="162">
        <v>8.0500000000000007</v>
      </c>
      <c r="X4" s="114">
        <v>4.1200000000000001E-2</v>
      </c>
      <c r="Y4" s="114"/>
      <c r="Z4" s="144"/>
      <c r="AA4" s="144"/>
      <c r="AB4" s="145"/>
      <c r="AC4" s="145"/>
      <c r="AD4" s="122">
        <v>46241</v>
      </c>
      <c r="AE4" t="s">
        <v>301</v>
      </c>
      <c r="AF4" s="125" t="s">
        <v>302</v>
      </c>
    </row>
    <row r="6" spans="1:32" ht="32" x14ac:dyDescent="0.2">
      <c r="A6" s="125" t="s">
        <v>303</v>
      </c>
      <c r="B6" s="125" t="s">
        <v>304</v>
      </c>
    </row>
    <row r="7" spans="1:32" ht="48" x14ac:dyDescent="0.2">
      <c r="A7" s="125" t="s">
        <v>305</v>
      </c>
      <c r="B7" s="125" t="s">
        <v>306</v>
      </c>
    </row>
    <row r="8" spans="1:32" ht="48" x14ac:dyDescent="0.2">
      <c r="A8" s="125" t="s">
        <v>307</v>
      </c>
      <c r="B8" s="125" t="s">
        <v>308</v>
      </c>
    </row>
    <row r="9" spans="1:32" ht="48" x14ac:dyDescent="0.2">
      <c r="A9" t="s">
        <v>677</v>
      </c>
      <c r="B9" s="125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ETF Due Diligence</vt:lpstr>
      <vt:lpstr>Dashboard Visual</vt:lpstr>
      <vt:lpstr>Aportes Trimestrais</vt:lpstr>
      <vt:lpstr>Comparativo de Cenários</vt:lpstr>
      <vt:lpstr>Cenário 1 - Buy &amp; Hold</vt:lpstr>
      <vt:lpstr>Cenário 2 - Rebalanceamento</vt:lpstr>
      <vt:lpstr>ETF 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giovannini</cp:lastModifiedBy>
  <dcterms:created xsi:type="dcterms:W3CDTF">2026-08-11T19:31:15Z</dcterms:created>
  <dcterms:modified xsi:type="dcterms:W3CDTF">2026-08-11T22:42:14Z</dcterms:modified>
  <cp:category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2026-08-10T19:56:05Z</dcterms:created>
  <dc:creator>openpyxl</dc:creator>
  <dc:description/>
  <dc:language>en-US</dc:language>
  <cp:lastModifiedBy/>
  <dcterms:modified xsi:type="dcterms:W3CDTF">2026-08-10T19:56:07Z</dcterms:modified>
  <cp:revision>0</cp:revision>
  <dc:subject/>
  <dc:title/>
</cp:coreProperties>
</file>