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 Visual" sheetId="1" state="visible" r:id="rId2"/>
    <sheet name="Aportes Trimestrais" sheetId="2" state="visible" r:id="rId3"/>
    <sheet name="Comparativo de Cenários" sheetId="3" state="visible" r:id="rId4"/>
    <sheet name="Cenário 1 - Buy &amp; Hold" sheetId="4" state="visible" r:id="rId5"/>
    <sheet name="Cenário 2 - Rebalanceamento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<sst xmlns="http://schemas.openxmlformats.org/spreadsheetml/2006/main" count="342" uniqueCount="250">
  <si>
    <t xml:space="preserve">PAINEL DE DESEMPENHO E COMPLIANCE TRIBUTÁRIO (USD 200k FRESH MONEY)</t>
  </si>
  <si>
    <t xml:space="preserve">Análise Visual de Retorno Real Líquido, Impacto da Inflação e Comparação Tática de Cenários (2019 - 2026)</t>
  </si>
  <si>
    <t xml:space="preserve"> 1. INDICADORES CHAVE DE DESEMPENHO LÍQUIDO FINAL (MAIO 2026)</t>
  </si>
  <si>
    <t xml:space="preserve">Métrica Líquida Final</t>
  </si>
  <si>
    <t xml:space="preserve">Cenário 1: Buy &amp; Hold (Diferimento)</t>
  </si>
  <si>
    <t xml:space="preserve">Cenário 2: Rebalanceamento (2021)</t>
  </si>
  <si>
    <t xml:space="preserve">Vantagem Real (C1 - C2)</t>
  </si>
  <si>
    <t xml:space="preserve">Ganho (%)</t>
  </si>
  <si>
    <t xml:space="preserve">Análise de Eficiência</t>
  </si>
  <si>
    <t xml:space="preserve">Patrimônio Líquido Nominal (USD Equiv.)</t>
  </si>
  <si>
    <t xml:space="preserve">Saldo final líquido de imposto brasileiro mantido em USD na IBKR.</t>
  </si>
  <si>
    <t xml:space="preserve">Patrimônio Líquido Real USD (CPI-adj)</t>
  </si>
  <si>
    <t xml:space="preserve">Poder de compra real final líquido na conta americana (t0 = 2019).</t>
  </si>
  <si>
    <t xml:space="preserve">Patrimônio Líquido Nominal (BRL)</t>
  </si>
  <si>
    <t xml:space="preserve">Valor líquido total convertido pelo câmbio de venda PTAX 5,1550.</t>
  </si>
  <si>
    <t xml:space="preserve">Patrimônio Líquido Real BRL (IPCA-adj)</t>
  </si>
  <si>
    <t xml:space="preserve">Poder de compra líquido real final no Brasil (t0 = 2019).</t>
  </si>
  <si>
    <t xml:space="preserve">Retorno Líquido Real USD Acumulado (%)</t>
  </si>
  <si>
    <t xml:space="preserve">Retorno composto real (descontados impostos e inflação US CPI).</t>
  </si>
  <si>
    <t xml:space="preserve">Retorno Líquido Real BRL Acumulado (%)</t>
  </si>
  <si>
    <t xml:space="preserve">Retorno composto real (descontados impostos e inflação IPCA).</t>
  </si>
  <si>
    <t xml:space="preserve">Total de Impostos Nominais Pagos (BRL)</t>
  </si>
  <si>
    <t xml:space="preserve">Total de IR pago (Cenário 1 diferiu tudo; Cenário 2 pagou em 2021/2026).</t>
  </si>
  <si>
    <t xml:space="preserve">Total de Impostos Reais Pagos (BRL em t0)</t>
  </si>
  <si>
    <t xml:space="preserve">Total de impostos trazidos a valor real de t0 (2019) descontando IPCA.</t>
  </si>
  <si>
    <t xml:space="preserve"> 2. INDICADORES CHAVE DE DESEMPENHO LÍQUIDO FINAL - APORTES RECORRENTES (MAY/2026)</t>
  </si>
  <si>
    <t xml:space="preserve">Cenário A: +USD 5k / Trimestre</t>
  </si>
  <si>
    <t xml:space="preserve">Cenário B: +USD 10k / Trimestre</t>
  </si>
  <si>
    <t xml:space="preserve">Vantagem Real (B - A)</t>
  </si>
  <si>
    <t xml:space="preserve">Total de IR pago (Lei 14.754/2023, 15% sobre o ganho de capital).</t>
  </si>
  <si>
    <t xml:space="preserve">Custo tributário real trazido a valor presente de 2019 pelo IPCA.</t>
  </si>
  <si>
    <t xml:space="preserve"> 2. MATRIZ DE ALOCAÇÃO DE ATIVOS (PORTFÓLIO MODELO - REAL CORE)</t>
  </si>
  <si>
    <t xml:space="preserve">Classe de Ativo</t>
  </si>
  <si>
    <t xml:space="preserve">Ticker</t>
  </si>
  <si>
    <t xml:space="preserve">Bolsa / Domicílio</t>
  </si>
  <si>
    <t xml:space="preserve">ISIN</t>
  </si>
  <si>
    <t xml:space="preserve">Peso-Alvo (%)</t>
  </si>
  <si>
    <t xml:space="preserve">Custo Inicial (USD)</t>
  </si>
  <si>
    <t xml:space="preserve">Custo Inicial (BRL)</t>
  </si>
  <si>
    <t xml:space="preserve">Papel Estrutural na Carteira</t>
  </si>
  <si>
    <t xml:space="preserve">Ações Globais (Desenvolvidos &amp; Emergentes)</t>
  </si>
  <si>
    <t xml:space="preserve">VWRA</t>
  </si>
  <si>
    <t xml:space="preserve">LSE / Irlanda</t>
  </si>
  <si>
    <t xml:space="preserve">IE00B4L5Y983</t>
  </si>
  <si>
    <t xml:space="preserve">Motor principal de valorização real e acúmulo no longo prazo.</t>
  </si>
  <si>
    <t xml:space="preserve">Títulos Soberanos EUA Indexados à Inflação</t>
  </si>
  <si>
    <t xml:space="preserve">ITPS</t>
  </si>
  <si>
    <t xml:space="preserve">IE00B1TXLS18</t>
  </si>
  <si>
    <t xml:space="preserve">Hedge ativo contra a inflação global e proteção do Dólar.</t>
  </si>
  <si>
    <t xml:space="preserve">Renda Fixa Global (Hedged em USD)</t>
  </si>
  <si>
    <t xml:space="preserve">AGGU</t>
  </si>
  <si>
    <t xml:space="preserve">IE00BZ043R46</t>
  </si>
  <si>
    <t xml:space="preserve">Redutor de volatilidade e amortecedor de choques macro.</t>
  </si>
  <si>
    <t xml:space="preserve">Total do Portfólio</t>
  </si>
  <si>
    <t xml:space="preserve">Estrutura blindada contra o imposto sucessório americano.</t>
  </si>
  <si>
    <t xml:space="preserve"> 3. MATRIZ DE CORRELAÇÃO ESTIMADA DOS ATIVOS DA CARTEIRA</t>
  </si>
  <si>
    <t xml:space="preserve">Ativo de Referência</t>
  </si>
  <si>
    <t xml:space="preserve">VWRA (Ações)</t>
  </si>
  <si>
    <t xml:space="preserve">ITPS (TIPS)</t>
  </si>
  <si>
    <t xml:space="preserve">AGGU (Bonds)</t>
  </si>
  <si>
    <t xml:space="preserve">Análise de Diversificação Estrutural</t>
  </si>
  <si>
    <t xml:space="preserve">VWRA (Ações Globais)</t>
  </si>
  <si>
    <t xml:space="preserve">Correlação moderada-baixa com Bonds e TIPS garante forte amortecimento em ciclos de quedas acionárias.</t>
  </si>
  <si>
    <t xml:space="preserve">Desempenha de forma contracíclica na inflação, garantindo juros reais compostos.</t>
  </si>
  <si>
    <t xml:space="preserve">AGGU (Bonds Globais)</t>
  </si>
  <si>
    <t xml:space="preserve">Baixíssima correlação com o motor acionário (VWRA), protegendo o patrimônio nos choques como o de 2022.</t>
  </si>
  <si>
    <t xml:space="preserve"> 4. DADOS AUXILIARES DOS GRÁFICOS (VINCULADOS)</t>
  </si>
  <si>
    <t xml:space="preserve">Cenário</t>
  </si>
  <si>
    <t xml:space="preserve">Nominal USD</t>
  </si>
  <si>
    <t xml:space="preserve">Real USD (t0)</t>
  </si>
  <si>
    <t xml:space="preserve">Cenário 1: Buy &amp; Hold</t>
  </si>
  <si>
    <t xml:space="preserve">Cenário 2: Rebalanceamento</t>
  </si>
  <si>
    <t xml:space="preserve">Imposto Nominal BRL</t>
  </si>
  <si>
    <t xml:space="preserve">Imposto Real BRL (t0)</t>
  </si>
  <si>
    <t xml:space="preserve">Gerado em: 2026-08-10 | v4.0 - Dashboards, Matrizes e Gráficos Embarcados | Grounded under Lei 14.754/2023</t>
  </si>
  <si>
    <t xml:space="preserve">SIMULAÇÃO COMPARATIVA DE APORTES TRIMESTRAIS DE CAPITAL NOVO (FRESH MONEY)</t>
  </si>
  <si>
    <t xml:space="preserve">Análise de Rebalanceamento por Novos Aportes (Top-Up Routing) sem vendas vs. Impacto Tributário (Lei 14.754/2023) e Inflação</t>
  </si>
  <si>
    <t xml:space="preserve">CENÁRIO A: APORTES RECORRENTES DE USD 5k / TRIMESTRE</t>
  </si>
  <si>
    <t xml:space="preserve">CENÁRIO B: APORTES RECORRENTES DE USD 10k / TRIMESTRE</t>
  </si>
  <si>
    <t xml:space="preserve">Período</t>
  </si>
  <si>
    <t xml:space="preserve">Taxa PTAX</t>
  </si>
  <si>
    <t xml:space="preserve">VWRA (USD)</t>
  </si>
  <si>
    <t xml:space="preserve">ITPS (USD)</t>
  </si>
  <si>
    <t xml:space="preserve">AGGU (USD)</t>
  </si>
  <si>
    <t xml:space="preserve">Saldo (USD)</t>
  </si>
  <si>
    <t xml:space="preserve">Aporte (USD)</t>
  </si>
  <si>
    <t xml:space="preserve">Saldo (BRL)</t>
  </si>
  <si>
    <t xml:space="preserve">Custo (BRL)</t>
  </si>
  <si>
    <t xml:space="preserve">2019-01-02 (Compra)</t>
  </si>
  <si>
    <t xml:space="preserve">2019-Q1</t>
  </si>
  <si>
    <t xml:space="preserve">2019-Q2</t>
  </si>
  <si>
    <t xml:space="preserve">2019-Q3</t>
  </si>
  <si>
    <t xml:space="preserve">2019-Q4</t>
  </si>
  <si>
    <t xml:space="preserve">2020-Q1</t>
  </si>
  <si>
    <t xml:space="preserve">2020-Q2</t>
  </si>
  <si>
    <t xml:space="preserve">2020-Q3</t>
  </si>
  <si>
    <t xml:space="preserve">2020-Q4</t>
  </si>
  <si>
    <t xml:space="preserve">2021-Q1</t>
  </si>
  <si>
    <t xml:space="preserve">2021-Q2</t>
  </si>
  <si>
    <t xml:space="preserve">2021-Q3</t>
  </si>
  <si>
    <t xml:space="preserve">2021-Q4</t>
  </si>
  <si>
    <t xml:space="preserve">2022-Q1</t>
  </si>
  <si>
    <t xml:space="preserve">2022-Q2</t>
  </si>
  <si>
    <t xml:space="preserve">2022-Q3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</si>
  <si>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</si>
  <si>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</si>
  <si>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</si>
  <si>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</si>
  <si>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</si>
  <si>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</si>
  <si>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</si>
  <si>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</si>
  <si>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</si>
  <si>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</si>
  <si>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2025-Q2</t>
  </si>
  <si>
    <t xml:space="preserve">2025-Q3</t>
  </si>
  <si>
    <t xml:space="preserve">2025-Q4</t>
  </si>
  <si>
    <t xml:space="preserve">2026-Q1</t>
  </si>
  <si>
    <t xml:space="preserve">2026-May29</t>
  </si>
  <si>
    <t xml:space="preserve"> 2. MEMORANDO DE LIQUIDAÇÃO FISCAL E RETORNOS REAIS DESCONTADOS PELA INFLAÇÃO</t>
  </si>
  <si>
    <t xml:space="preserve">Métrica de Comparação Final (Venda em Maio/2026)</t>
  </si>
  <si>
    <t xml:space="preserve">Nominal</t>
  </si>
  <si>
    <t xml:space="preserve">Real (t0)</t>
  </si>
  <si>
    <t xml:space="preserve">Retorno (%)</t>
  </si>
  <si>
    <t xml:space="preserve">Análise Fiscal &amp; Econômica</t>
  </si>
  <si>
    <t xml:space="preserve">Valor Final da Carteira (USD)</t>
  </si>
  <si>
    <t xml:space="preserve">Total acumulado na conta americana.</t>
  </si>
  <si>
    <t xml:space="preserve">Valor Final da Carteira (BRL)</t>
  </si>
  <si>
    <t xml:space="preserve">Total convertido pela PTAX de venda.</t>
  </si>
  <si>
    <t xml:space="preserve">Total de Capital Contribuído (USD)</t>
  </si>
  <si>
    <t xml:space="preserve">345000</t>
  </si>
  <si>
    <t xml:space="preserve">283733.22</t>
  </si>
  <si>
    <t xml:space="preserve">Capital inicial + 29 aportes.</t>
  </si>
  <si>
    <t xml:space="preserve">490000</t>
  </si>
  <si>
    <t xml:space="preserve">393245.50</t>
  </si>
  <si>
    <t xml:space="preserve">Custo de Aquisição Declarado (BRL)</t>
  </si>
  <si>
    <t xml:space="preserve">Custo contábil para imposto de renda.</t>
  </si>
  <si>
    <t xml:space="preserve">Ganho de Capital Tributável (BRL)</t>
  </si>
  <si>
    <t xml:space="preserve">Ganho sujeito à tributação brasileira.</t>
  </si>
  <si>
    <t xml:space="preserve">Imposto de Renda Devido (BRL - 15%)</t>
  </si>
  <si>
    <t xml:space="preserve">Apuração de 15% sob a Lei 14.754/2023.</t>
  </si>
  <si>
    <t xml:space="preserve">Patrimônio Líquido Final (BRL)</t>
  </si>
  <si>
    <t xml:space="preserve">Patrimônio líquido real no Brasil.</t>
  </si>
  <si>
    <t xml:space="preserve">Patrimônio Líquido Final (USD Equiv.)</t>
  </si>
  <si>
    <t xml:space="preserve">Patrimônio líquido na conta da IBKR.</t>
  </si>
  <si>
    <t xml:space="preserve">Retorno Absoluto Líquido USD (%)</t>
  </si>
  <si>
    <t xml:space="preserve">Retorno líquido de inflação (US CPI) e IR.</t>
  </si>
  <si>
    <t xml:space="preserve">Retorno Absoluto Líquido BRL (%)</t>
  </si>
  <si>
    <t xml:space="preserve">Retorno líquido de inflação (IPCA) e IR.</t>
  </si>
  <si>
    <t xml:space="preserve">SIMULAÇÃO COMPARATIVA DE CENÁRIOS DE REBALANCEAMENTO (NOMINAL E REAL)</t>
  </si>
  <si>
    <t xml:space="preserve">Análise de impacto fiscal, custo de oportunidade e retornos descontados pela inflação oficial (US CPI e IPCA)</t>
  </si>
  <si>
    <t xml:space="preserve"> COMPARAÇÃO DE RESULTADOS FINAIS (LIQUIDAÇÃO EM MAIO 2026)</t>
  </si>
  <si>
    <t xml:space="preserve">Métrica</t>
  </si>
  <si>
    <t xml:space="preserve">Cenário 2: Rebalanceamento em 2021</t>
  </si>
  <si>
    <t xml:space="preserve">Diferença Absoluta</t>
  </si>
  <si>
    <t xml:space="preserve">Diferença (%)</t>
  </si>
  <si>
    <t xml:space="preserve">Análise de Impacto de Longo Prazo</t>
  </si>
  <si>
    <t xml:space="preserve">Valor Final da Carteira Nominal (USD)</t>
  </si>
  <si>
    <t xml:space="preserve">O rebalanceamento vendeu ações (VWRA) para comprar bonds, reduzindo o patrimônio final bruto em USD.</t>
  </si>
  <si>
    <t xml:space="preserve">Valor Final da Carteira Nominal (BRL)</t>
  </si>
  <si>
    <t xml:space="preserve">Reflete a desvalorização cambial acumulada do Real, ampliando o ganho medido em moeda local.</t>
  </si>
  <si>
    <t xml:space="preserve">Custo de Aquisição Final Declarado (BRL)</t>
  </si>
  <si>
    <t xml:space="preserve">O rebalanceamento de 2021 ao câmbio alto de 5,5805 gerou um 'Basis Bump' legal no custo contábil do Cenário 2.</t>
  </si>
  <si>
    <t xml:space="preserve">Imposto de Renda Pago em 2021 (BRL)</t>
  </si>
  <si>
    <t xml:space="preserve">0</t>
  </si>
  <si>
    <t xml:space="preserve">Cenário 2 pagou imposto de 15% na venda de ações para rebalancear. Cenário 1 diferiu 100%.</t>
  </si>
  <si>
    <t xml:space="preserve">Imposto de Renda Pago em 2026 (BRL)</t>
  </si>
  <si>
    <t xml:space="preserve">Liquidação final. Cenário 2 paga menos IR em 2026 por conta do custo de aquisição mais elevado (Basis Bump).</t>
  </si>
  <si>
    <t xml:space="preserve">No total absoluto nominal, o Cenário 2 pagou menos imposto devido à elevação do custo contábil em BRL.</t>
  </si>
  <si>
    <t xml:space="preserve">Patrimônio Líquido Final Nominal (BRL)</t>
  </si>
  <si>
    <t xml:space="preserve">O custo de oportunidade de vender ações em 2021 superou de longe a economia fiscal nominal gerada.</t>
  </si>
  <si>
    <t xml:space="preserve">Patrimônio Líquido Final Nominal (USD Equiv.)</t>
  </si>
  <si>
    <t xml:space="preserve">O investidor terminou com USD 11,3k adicionais na conta americana da IBKR no Cenário 1 (Buy &amp; Hold).</t>
  </si>
  <si>
    <t xml:space="preserve">Retorno Absoluto USD Líquido Nominal (%)</t>
  </si>
  <si>
    <t xml:space="preserve">Retorno nominal líquido sobre o capital inicial em USD de primeira trancha.</t>
  </si>
  <si>
    <t xml:space="preserve">Retorno Absoluto BRL Líquido Nominal (%)</t>
  </si>
  <si>
    <t xml:space="preserve">Retorno nominal líquido medido contra o custo inicial em BRL.</t>
  </si>
  <si>
    <t xml:space="preserve">Valor Final da Carteira Real (USD - CPI-adj)</t>
  </si>
  <si>
    <t xml:space="preserve">O poder de compra final real do portfólio brutificado em dólares (em termos de 2019).</t>
  </si>
  <si>
    <t xml:space="preserve">Valor Final da Carteira Real (BRL - IPCA-adj)</t>
  </si>
  <si>
    <t xml:space="preserve">O poder de compra final real brutificado em Reais (em termos de 2019).</t>
  </si>
  <si>
    <t xml:space="preserve">O valor real do imposto pago, trazido para t0 (2019) descontado pelo IPCA.</t>
  </si>
  <si>
    <t xml:space="preserve">Total de Impostos Reais Pagos (USD em t0)</t>
  </si>
  <si>
    <t xml:space="preserve">O valor real do imposto pago, trazido para t0 (2019) descontado pelo US CPI.</t>
  </si>
  <si>
    <t xml:space="preserve">Patrimônio Líquido Final Real (BRL em t0)</t>
  </si>
  <si>
    <t xml:space="preserve">O poder de compra líquido de impostos e inflação real no Brasil (em termos de 2019).</t>
  </si>
  <si>
    <t xml:space="preserve">Patrimônio Líquido Final Real (USD em t0)</t>
  </si>
  <si>
    <t xml:space="preserve">O poder de compra líquido de impostos e inflação real nos EUA (em termos de 2019).</t>
  </si>
  <si>
    <t xml:space="preserve">Retorno real líquido de impostos e inflação americana acumulado de 2019 a 2026.</t>
  </si>
  <si>
    <t xml:space="preserve">Retorno real líquido de impostos e inflação brasileira acumulado de 2019 a 2026.</t>
  </si>
  <si>
    <t xml:space="preserve">CENÁRIO 1: ESTRATÉGIA BUY &amp; HOLD (DIFERIMENTO INTEGRAL)</t>
  </si>
  <si>
    <t xml:space="preserve">Evolução anual e liquidação tributária nominal/real em maio de 2026 - Sem rebalanceamentos intermediários</t>
  </si>
  <si>
    <t xml:space="preserve"> 1. EVOLUÇÃO DO PORTFÓLIO, CAMBIO E INFLAÇÃO</t>
  </si>
  <si>
    <t xml:space="preserve">PTAX Câmbio</t>
  </si>
  <si>
    <t xml:space="preserve">Retorno VWRA</t>
  </si>
  <si>
    <t xml:space="preserve">Retorno ITPS</t>
  </si>
  <si>
    <t xml:space="preserve">Retorno AGGU</t>
  </si>
  <si>
    <t xml:space="preserve">Saldo Total (USD)</t>
  </si>
  <si>
    <t xml:space="preserve">US CPI Anual (%)</t>
  </si>
  <si>
    <t xml:space="preserve">US CPI Acum.</t>
  </si>
  <si>
    <t xml:space="preserve">Saldo Real USD</t>
  </si>
  <si>
    <t xml:space="preserve">Saldo Total (BRL)</t>
  </si>
  <si>
    <t xml:space="preserve">IPCA Anual (%)</t>
  </si>
  <si>
    <t xml:space="preserve">IPCA Acum.</t>
  </si>
  <si>
    <t xml:space="preserve">Saldo Real BRL</t>
  </si>
  <si>
    <t xml:space="preserve">2019-12-31</t>
  </si>
  <si>
    <t xml:space="preserve">2020-12-31</t>
  </si>
  <si>
    <t xml:space="preserve">2021-12-31</t>
  </si>
  <si>
    <t xml:space="preserve">2022-12-31</t>
  </si>
  <si>
    <t xml:space="preserve">2023-12-31</t>
  </si>
  <si>
    <t xml:space="preserve">2024-12-31</t>
  </si>
  <si>
    <t xml:space="preserve">2025-12-31</t>
  </si>
  <si>
    <t xml:space="preserve">2026-05-29 (Venda)</t>
  </si>
  <si>
    <t xml:space="preserve"> 2. MEMORANDO DE TRIBUTAÇÃO NA LIQUIDAÇÃO NOMINAL E REAL (MAIO 2026)</t>
  </si>
  <si>
    <t xml:space="preserve">Saldo Final Nominal USD</t>
  </si>
  <si>
    <t xml:space="preserve">Saldo Final Nominal BRL</t>
  </si>
  <si>
    <t xml:space="preserve">Custo Inicial USD</t>
  </si>
  <si>
    <t xml:space="preserve">Custo Inicial BRL</t>
  </si>
  <si>
    <t xml:space="preserve">Ganho de Capital Nominal BRL</t>
  </si>
  <si>
    <t xml:space="preserve">Imposto de Renda Nominal (15%)</t>
  </si>
  <si>
    <t xml:space="preserve"> 3. ANÁLISE EM TERMOS REAIS (DESCONTADA A INFLAÇÃO NO PERÍODO)</t>
  </si>
  <si>
    <t xml:space="preserve">Saldo Final Real USD (US CPI-adj)</t>
  </si>
  <si>
    <t xml:space="preserve">Saldo Final Real BRL (IPCA-adj)</t>
  </si>
  <si>
    <t xml:space="preserve">Custo Inicial Real USD</t>
  </si>
  <si>
    <t xml:space="preserve">Custo Inicial Real BRL</t>
  </si>
  <si>
    <t xml:space="preserve">Ganho de Capital Real BRL</t>
  </si>
  <si>
    <t xml:space="preserve">Ganho de Capital Real USD</t>
  </si>
  <si>
    <t xml:space="preserve">Imposto de Renda Real BRL (em t0)</t>
  </si>
  <si>
    <t xml:space="preserve">Imposto de Renda Real USD (em t0)</t>
  </si>
  <si>
    <t xml:space="preserve">Patrimônio Líquido Real BRL (pós-IR)</t>
  </si>
  <si>
    <t xml:space="preserve">Patrimônio Líquido Real USD (pós-IR)</t>
  </si>
  <si>
    <t xml:space="preserve">CENÁRIO 2: ESTRATÉGIA COM REBALANCEAMENTO TÁTICO (DEZEMBRO 2021)</t>
  </si>
  <si>
    <t xml:space="preserve">Demonstrativo detalhado de venda de cotas de VWRA no pico cambial de 2021 para compra de ITPS e AGGU</t>
  </si>
  <si>
    <t xml:space="preserve">2021-12-31 (Antes Rebal.)</t>
  </si>
  <si>
    <t xml:space="preserve">2021-12-31 (Pós Rebal.)</t>
  </si>
  <si>
    <t xml:space="preserve"> 2. EVENTO TRIBUTÁRIO DE REBALANCEAMENTO (DEZEMBRO 2021)</t>
  </si>
  <si>
    <t xml:space="preserve">VWRA Vendido (USD)</t>
  </si>
  <si>
    <t xml:space="preserve">Fração Vendida (%)</t>
  </si>
  <si>
    <t xml:space="preserve">Custo Proporcional BRL</t>
  </si>
  <si>
    <t xml:space="preserve">Valor da Venda BRL</t>
  </si>
  <si>
    <t xml:space="preserve">Ganho de Capital BRL</t>
  </si>
  <si>
    <t xml:space="preserve">Imposto Pago em 2021 (BRL - 15%)</t>
  </si>
  <si>
    <t xml:space="preserve"> 3. MEMORANDO DE TRIBUTAÇÃO NA LIQUIDAÇÃO FINAL E REAL (MAIO 2026)</t>
  </si>
  <si>
    <t xml:space="preserve">Custo Final BRL (Médio Ponderado)</t>
  </si>
  <si>
    <t xml:space="preserve">Ganho de Capital BRL (2026)</t>
  </si>
  <si>
    <t xml:space="preserve">Imposto de Renda 2026 (15%)</t>
  </si>
  <si>
    <t xml:space="preserve">Total de Impostos Pagos (BRL)</t>
  </si>
  <si>
    <t xml:space="preserve"> 4. ANÁLISE EM TERMOS REAIS (DESCONTADA A INFLAÇÃO NO PERÍODO)</t>
  </si>
  <si>
    <t xml:space="preserve">Imposto Real BRL (em t0)</t>
  </si>
  <si>
    <t xml:space="preserve">Imposto Real USD (em t0)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</si>
</sst>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%"/>
    <numFmt numFmtId="167" formatCode="&quot;R$&quot;#,##0"/>
    <numFmt numFmtId="168" formatCode="\$#,##0"/>
    <numFmt numFmtId="169" formatCode="0.00%"/>
    <numFmt numFmtId="170" formatCode="&quot;R$&quot;#,##0"/>
    <numFmt numFmtId="171" formatCode="0.00"/>
    <numFmt numFmtId="172" formatCode="0.0000"/>
    <numFmt numFmtId="173" formatCode="\$#,##0.00"/>
    <numFmt numFmtId="174" formatCode="&quot;R$&quot;#,##0.00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6"/>
      <color rgb="FF1F497D"/>
      <name val="Calibri"/>
      <family val="0"/>
      <charset val="1"/>
    </font>
    <font>
      <b val="true"/>
      <sz val="16"/>
      <color rgb="FF2F5496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97D"/>
      </patternFill>
    </fill>
    <fill>
      <patternFill patternType="solid">
        <fgColor rgb="FF2F5597"/>
        <bgColor rgb="FF2F5496"/>
      </patternFill>
    </fill>
    <fill>
      <patternFill patternType="solid">
        <fgColor rgb="FF4472C4"/>
        <bgColor rgb="FF366092"/>
      </patternFill>
    </fill>
    <fill>
      <patternFill patternType="solid">
        <fgColor rgb="FF5B9BD5"/>
        <bgColor rgb="FF4472C4"/>
      </patternFill>
    </fill>
    <fill>
      <patternFill patternType="solid">
        <fgColor rgb="FFE2EFDA"/>
        <bgColor rgb="FFDCE6F1"/>
      </patternFill>
    </fill>
    <fill>
      <patternFill patternType="solid">
        <fgColor rgb="FF1F497D"/>
        <bgColor rgb="FF1F4E78"/>
      </patternFill>
    </fill>
    <fill>
      <patternFill patternType="solid">
        <fgColor rgb="FF366092"/>
        <bgColor rgb="FF2F5597"/>
      </patternFill>
    </fill>
    <fill>
      <patternFill patternType="solid">
        <fgColor rgb="FFF2F5F8"/>
        <bgColor rgb="FFF2F2F2"/>
      </patternFill>
    </fill>
    <fill>
      <patternFill patternType="solid">
        <fgColor rgb="FFF2F2F2"/>
        <bgColor rgb="FFF2F5F8"/>
      </patternFill>
    </fill>
    <fill>
      <patternFill patternType="solid">
        <fgColor rgb="FFD9E1F2"/>
        <bgColor rgb="FFDCE6F1"/>
      </patternFill>
    </fill>
    <fill>
      <patternFill patternType="solid">
        <fgColor rgb="FFF8F9FA"/>
        <bgColor rgb="FFF2F5F8"/>
      </patternFill>
    </fill>
    <fill>
      <patternFill patternType="solid">
        <fgColor rgb="FFDCE6F1"/>
        <bgColor rgb="FFD9E1F2"/>
      </patternFill>
    </fill>
    <fill>
      <patternFill patternType="solid">
        <fgColor rgb="FF2F5496"/>
        <bgColor rgb="FF2F5597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F5496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BFBFBF"/>
      </top>
      <bottom style="double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4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1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8" fillId="1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1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1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1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7" fillId="1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1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7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7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1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8" fillId="1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1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7" fillId="1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66092"/>
      <rgbColor rgb="FFBFBFBF"/>
      <rgbColor rgb="FF808080"/>
      <rgbColor rgb="FF5B9BD5"/>
      <rgbColor rgb="FF993366"/>
      <rgbColor rgb="FFF8F9FA"/>
      <rgbColor rgb="FFDCE6F1"/>
      <rgbColor rgb="FF660066"/>
      <rgbColor rgb="FFFF8080"/>
      <rgbColor rgb="FF2F5597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8"/>
      <rgbColor rgb="FFE2EFDA"/>
      <rgbColor rgb="FFF2F2F2"/>
      <rgbColor rgb="FFD9E1F2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1F497D"/>
      <rgbColor rgb="FF2F549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39"/>
    <col collapsed="false" customWidth="true" hidden="false" outlineLevel="0" max="3" min="3" style="0" width="37"/>
    <col collapsed="false" customWidth="true" hidden="false" outlineLevel="0" max="4" min="4" style="0" width="27"/>
    <col collapsed="false" customWidth="true" hidden="false" outlineLevel="0" max="5" min="5" style="0" width="107"/>
    <col collapsed="false" customWidth="true" hidden="false" outlineLevel="0" max="6" min="6" style="0" width="76"/>
    <col collapsed="false" customWidth="true" hidden="false" outlineLevel="0" max="7" min="7" style="0" width="23"/>
    <col collapsed="false" customWidth="true" hidden="false" outlineLevel="0" max="8" min="8" style="0" width="65"/>
  </cols>
  <sheetData>
    <row r="1" customFormat="false" ht="39.75" hidden="false" customHeight="true" outlineLevel="0" collapsed="false">
      <c r="A1" s="1" t="s">
        <v>0</v>
      </c>
    </row>
    <row r="2" customFormat="false" ht="24" hidden="false" customHeight="true" outlineLevel="0" collapsed="false">
      <c r="A2" s="2" t="s">
        <v>1</v>
      </c>
    </row>
    <row r="3" customFormat="false" ht="15" hidden="false" customHeight="true" outlineLevel="0" collapsed="false"/>
    <row r="4" customFormat="false" ht="24" hidden="false" customHeight="true" outlineLevel="0" collapsed="false">
      <c r="A4" s="3" t="s">
        <v>2</v>
      </c>
    </row>
    <row r="5" customFormat="false" ht="24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24" hidden="false" customHeight="true" outlineLevel="0" collapsed="false">
      <c r="A6" s="5" t="s">
        <v>9</v>
      </c>
      <c r="B6" s="6" t="n">
        <f aca="false">'Comparativo de Cenários'!B13</f>
        <v>370581.783320881</v>
      </c>
      <c r="C6" s="7" t="n">
        <f aca="false">'Comparativo de Cenários'!C13</f>
        <v>359230.265328336</v>
      </c>
      <c r="D6" s="8" t="n">
        <f aca="false">B6-C6</f>
        <v>11351.5179925452</v>
      </c>
      <c r="E6" s="9" t="n">
        <f aca="false">IFERROR(D6/B6, 0)</f>
        <v>0.0306316135963869</v>
      </c>
      <c r="F6" s="10" t="s">
        <v>10</v>
      </c>
    </row>
    <row r="7" customFormat="false" ht="24" hidden="false" customHeight="true" outlineLevel="0" collapsed="false">
      <c r="A7" s="5" t="s">
        <v>11</v>
      </c>
      <c r="B7" s="11" t="n">
        <f aca="false">'Comparativo de Cenários'!B21</f>
        <v>284916.203386673</v>
      </c>
      <c r="C7" s="12" t="n">
        <f aca="false">'Comparativo de Cenários'!C21</f>
        <v>275977.235512263</v>
      </c>
      <c r="D7" s="8" t="n">
        <f aca="false">B7-C7</f>
        <v>8938.96787441033</v>
      </c>
      <c r="E7" s="9" t="n">
        <f aca="false">IFERROR(D7/B7, 0)</f>
        <v>0.0313740242504876</v>
      </c>
      <c r="F7" s="10" t="s">
        <v>12</v>
      </c>
    </row>
    <row r="8" customFormat="false" ht="24" hidden="false" customHeight="true" outlineLevel="0" collapsed="false">
      <c r="A8" s="13" t="s">
        <v>13</v>
      </c>
      <c r="B8" s="14" t="n">
        <f aca="false">'Comparativo de Cenários'!B12</f>
        <v>1910349.09301914</v>
      </c>
      <c r="C8" s="15" t="n">
        <f aca="false">'Comparativo de Cenários'!C12</f>
        <v>1851832.01776757</v>
      </c>
      <c r="D8" s="16" t="n">
        <f aca="false">B8-C8</f>
        <v>58517.0752515704</v>
      </c>
      <c r="E8" s="9" t="n">
        <f aca="false">IFERROR(D8/B8, 0)</f>
        <v>0.0306316135963869</v>
      </c>
      <c r="F8" s="10" t="s">
        <v>14</v>
      </c>
    </row>
    <row r="9" customFormat="false" ht="24" hidden="false" customHeight="true" outlineLevel="0" collapsed="false">
      <c r="A9" s="5" t="s">
        <v>15</v>
      </c>
      <c r="B9" s="17" t="n">
        <f aca="false">'Comparativo de Cenários'!B20</f>
        <v>1292404.31006304</v>
      </c>
      <c r="C9" s="18" t="n">
        <f aca="false">'Comparativo de Cenários'!C20</f>
        <v>1250830.23467384</v>
      </c>
      <c r="D9" s="16" t="n">
        <f aca="false">B9-C9</f>
        <v>41574.0753891952</v>
      </c>
      <c r="E9" s="9" t="n">
        <f aca="false">IFERROR(D9/B9, 0)</f>
        <v>0.0321680104789867</v>
      </c>
      <c r="F9" s="10" t="s">
        <v>16</v>
      </c>
    </row>
    <row r="10" customFormat="false" ht="24" hidden="false" customHeight="true" outlineLevel="0" collapsed="false">
      <c r="A10" s="5" t="s">
        <v>17</v>
      </c>
      <c r="B10" s="19" t="n">
        <f aca="false">'Comparativo de Cenários'!B22</f>
        <v>0.424581016933365</v>
      </c>
      <c r="C10" s="9" t="n">
        <f aca="false">'Comparativo de Cenários'!C22</f>
        <v>0.379886177561314</v>
      </c>
      <c r="D10" s="20" t="n">
        <f aca="false">B10-C10</f>
        <v>0.0446948393720517</v>
      </c>
      <c r="E10" s="9" t="n">
        <f aca="false">B10-C10</f>
        <v>0.0446948393720517</v>
      </c>
      <c r="F10" s="10" t="s">
        <v>18</v>
      </c>
    </row>
    <row r="11" customFormat="false" ht="24" hidden="false" customHeight="true" outlineLevel="0" collapsed="false">
      <c r="A11" s="5" t="s">
        <v>19</v>
      </c>
      <c r="B11" s="19" t="n">
        <f aca="false">'Comparativo de Cenários'!B23</f>
        <v>0.66770453967048</v>
      </c>
      <c r="C11" s="9" t="n">
        <f aca="false">'Comparativo de Cenários'!C23</f>
        <v>0.614057802562506</v>
      </c>
      <c r="D11" s="20" t="n">
        <f aca="false">B11-C11</f>
        <v>0.0536467371079735</v>
      </c>
      <c r="E11" s="9" t="n">
        <f aca="false">B11-C11</f>
        <v>0.0536467371079735</v>
      </c>
      <c r="F11" s="10" t="s">
        <v>20</v>
      </c>
    </row>
    <row r="12" customFormat="false" ht="24" hidden="false" customHeight="true" outlineLevel="0" collapsed="false">
      <c r="A12" s="13" t="s">
        <v>21</v>
      </c>
      <c r="B12" s="14" t="n">
        <f aca="false">'Comparativo de Cenários'!B11</f>
        <v>200362.781121025</v>
      </c>
      <c r="C12" s="15" t="n">
        <f aca="false">'Comparativo de Cenários'!C11</f>
        <v>190036.242132397</v>
      </c>
      <c r="D12" s="21" t="n">
        <f aca="false">C12-B12</f>
        <v>-10326.5389886277</v>
      </c>
      <c r="E12" s="9" t="n">
        <f aca="false">IFERROR(D12/C12, 0)</f>
        <v>-0.054339839983961</v>
      </c>
      <c r="F12" s="10" t="s">
        <v>22</v>
      </c>
    </row>
    <row r="13" customFormat="false" ht="24" hidden="false" customHeight="true" outlineLevel="0" collapsed="false">
      <c r="A13" s="13" t="s">
        <v>23</v>
      </c>
      <c r="B13" s="14" t="n">
        <f aca="false">'Comparativo de Cenários'!B18</f>
        <v>135550.995806626</v>
      </c>
      <c r="C13" s="15" t="n">
        <f aca="false">'Comparativo de Cenários'!C18</f>
        <v>130550.45083482</v>
      </c>
      <c r="D13" s="21" t="n">
        <f aca="false">C13-B13</f>
        <v>-5000.54497180572</v>
      </c>
      <c r="E13" s="9" t="n">
        <f aca="false">IFERROR(D13/C13, 0)</f>
        <v>-0.0383035442606988</v>
      </c>
      <c r="F13" s="10" t="s">
        <v>24</v>
      </c>
    </row>
    <row r="14" customFormat="false" ht="24" hidden="false" customHeight="true" outlineLevel="0" collapsed="false">
      <c r="A14" s="22" t="s">
        <v>25</v>
      </c>
      <c r="B14" s="22"/>
      <c r="C14" s="22"/>
      <c r="D14" s="22"/>
      <c r="E14" s="22"/>
      <c r="F14" s="22"/>
      <c r="G14" s="22"/>
    </row>
    <row r="15" customFormat="false" ht="21.75" hidden="false" customHeight="true" outlineLevel="0" collapsed="false">
      <c r="A15" s="23" t="s">
        <v>3</v>
      </c>
      <c r="B15" s="23" t="s">
        <v>26</v>
      </c>
      <c r="C15" s="23" t="s">
        <v>27</v>
      </c>
      <c r="D15" s="23" t="s">
        <v>28</v>
      </c>
      <c r="E15" s="23" t="s">
        <v>7</v>
      </c>
      <c r="F15" s="23" t="s">
        <v>8</v>
      </c>
      <c r="G15" s="23"/>
    </row>
    <row r="16" customFormat="false" ht="19.5" hidden="false" customHeight="true" outlineLevel="0" collapsed="false">
      <c r="A16" s="24" t="s">
        <v>9</v>
      </c>
      <c r="B16" s="25" t="n">
        <f aca="false">'Aportes Trimestrais'!B48</f>
        <v>538579.262190764</v>
      </c>
      <c r="C16" s="25" t="n">
        <f aca="false">'Aportes Trimestrais'!F48</f>
        <v>724146.45391119</v>
      </c>
      <c r="D16" s="25" t="n">
        <f aca="false">C16-B16</f>
        <v>185567.191720426</v>
      </c>
      <c r="E16" s="26" t="n">
        <f aca="false">(C16-B16)/B16</f>
        <v>0.344549455850936</v>
      </c>
      <c r="F16" s="27" t="s">
        <v>10</v>
      </c>
      <c r="G16" s="27"/>
    </row>
    <row r="17" customFormat="false" ht="19.5" hidden="false" customHeight="true" outlineLevel="0" collapsed="false">
      <c r="A17" s="28" t="s">
        <v>11</v>
      </c>
      <c r="B17" s="29" t="n">
        <f aca="false">'Aportes Trimestrais'!C48</f>
        <v>414100.616785148</v>
      </c>
      <c r="C17" s="29" t="n">
        <f aca="false">'Aportes Trimestrais'!G48</f>
        <v>556778.758966008</v>
      </c>
      <c r="D17" s="29" t="n">
        <f aca="false">C17-B17</f>
        <v>142678.14218086</v>
      </c>
      <c r="E17" s="30" t="n">
        <f aca="false">(C17-B17)/B17</f>
        <v>0.344549455850936</v>
      </c>
      <c r="F17" s="31" t="s">
        <v>12</v>
      </c>
      <c r="G17" s="31"/>
    </row>
    <row r="18" customFormat="false" ht="19.5" hidden="false" customHeight="true" outlineLevel="0" collapsed="false">
      <c r="A18" s="24" t="s">
        <v>13</v>
      </c>
      <c r="B18" s="32" t="n">
        <f aca="false">'Aportes Trimestrais'!B47</f>
        <v>2776376.09659339</v>
      </c>
      <c r="C18" s="32" t="n">
        <f aca="false">'Aportes Trimestrais'!F47</f>
        <v>3732974.96991218</v>
      </c>
      <c r="D18" s="32" t="n">
        <f aca="false">C18-B18</f>
        <v>956598.873318797</v>
      </c>
      <c r="E18" s="26" t="n">
        <f aca="false">(C18-B18)/B18</f>
        <v>0.344549455850936</v>
      </c>
      <c r="F18" s="27" t="s">
        <v>14</v>
      </c>
      <c r="G18" s="27"/>
    </row>
    <row r="19" customFormat="false" ht="19.5" hidden="false" customHeight="true" outlineLevel="0" collapsed="false">
      <c r="A19" s="28" t="s">
        <v>15</v>
      </c>
      <c r="B19" s="33" t="n">
        <f aca="false">'Aportes Trimestrais'!C47</f>
        <v>1878214.10945297</v>
      </c>
      <c r="C19" s="33" t="n">
        <f aca="false">'Aportes Trimestrais'!G47</f>
        <v>2525351.75883655</v>
      </c>
      <c r="D19" s="33" t="n">
        <f aca="false">C19-B19</f>
        <v>647137.649383573</v>
      </c>
      <c r="E19" s="30" t="n">
        <f aca="false">(C19-B19)/B19</f>
        <v>0.344549455850936</v>
      </c>
      <c r="F19" s="31" t="s">
        <v>16</v>
      </c>
      <c r="G19" s="31"/>
    </row>
    <row r="20" customFormat="false" ht="19.5" hidden="false" customHeight="true" outlineLevel="0" collapsed="false">
      <c r="A20" s="34" t="s">
        <v>17</v>
      </c>
      <c r="B20" s="35" t="n">
        <f aca="false">'Aportes Trimestrais'!C49</f>
        <v>0.459471741747929</v>
      </c>
      <c r="C20" s="35" t="n">
        <f aca="false">'Aportes Trimestrais'!G49</f>
        <v>0.415855385417018</v>
      </c>
      <c r="D20" s="35" t="n">
        <f aca="false">C20-B20</f>
        <v>-0.0436163563309105</v>
      </c>
      <c r="E20" s="35"/>
      <c r="F20" s="36" t="s">
        <v>18</v>
      </c>
      <c r="G20" s="36"/>
    </row>
    <row r="21" customFormat="false" ht="19.5" hidden="false" customHeight="true" outlineLevel="0" collapsed="false">
      <c r="A21" s="34" t="s">
        <v>19</v>
      </c>
      <c r="B21" s="35" t="n">
        <f aca="false">'Aportes Trimestrais'!C50</f>
        <v>0.870891980798803</v>
      </c>
      <c r="C21" s="35" t="n">
        <f aca="false">'Aportes Trimestrais'!G50</f>
        <v>0.702214819553759</v>
      </c>
      <c r="D21" s="35" t="n">
        <f aca="false">C21-B21</f>
        <v>-0.168677161245043</v>
      </c>
      <c r="E21" s="35"/>
      <c r="F21" s="36" t="s">
        <v>20</v>
      </c>
      <c r="G21" s="36"/>
    </row>
    <row r="22" customFormat="false" ht="19.5" hidden="false" customHeight="true" outlineLevel="0" collapsed="false">
      <c r="A22" s="24" t="s">
        <v>21</v>
      </c>
      <c r="B22" s="32" t="n">
        <f aca="false">'Aportes Trimestrais'!B46</f>
        <v>228068.972928281</v>
      </c>
      <c r="C22" s="32" t="n">
        <f aca="false">'Aportes Trimestrais'!F46</f>
        <v>271758.435866871</v>
      </c>
      <c r="D22" s="32" t="n">
        <f aca="false">C22-B22</f>
        <v>43689.4629385896</v>
      </c>
      <c r="E22" s="26" t="n">
        <f aca="false">(C22-B22)/B22</f>
        <v>0.191562501368076</v>
      </c>
      <c r="F22" s="27" t="s">
        <v>29</v>
      </c>
      <c r="G22" s="27"/>
    </row>
    <row r="23" customFormat="false" ht="19.5" hidden="false" customHeight="true" outlineLevel="0" collapsed="false">
      <c r="A23" s="28" t="s">
        <v>23</v>
      </c>
      <c r="B23" s="33" t="n">
        <f aca="false">'Aportes Trimestrais'!C46</f>
        <v>154288.30532288</v>
      </c>
      <c r="C23" s="33" t="n">
        <f aca="false">'Aportes Trimestrais'!G46</f>
        <v>183844.159022372</v>
      </c>
      <c r="D23" s="33" t="n">
        <f aca="false">C23-B23</f>
        <v>29555.8536994924</v>
      </c>
      <c r="E23" s="30" t="n">
        <f aca="false">(C23-B23)/B23</f>
        <v>0.191562501368076</v>
      </c>
      <c r="F23" s="31" t="s">
        <v>30</v>
      </c>
      <c r="G23" s="31"/>
    </row>
    <row r="24" customFormat="false" ht="24" hidden="false" customHeight="true" outlineLevel="0" collapsed="false"/>
    <row r="25" customFormat="false" ht="24" hidden="false" customHeight="true" outlineLevel="0" collapsed="false"/>
    <row r="26" customFormat="false" ht="24" hidden="false" customHeight="true" outlineLevel="0" collapsed="false">
      <c r="A26" s="3" t="s">
        <v>31</v>
      </c>
    </row>
    <row r="27" customFormat="false" ht="15" hidden="false" customHeight="true" outlineLevel="0" collapsed="false">
      <c r="A27" s="4" t="s">
        <v>32</v>
      </c>
      <c r="B27" s="4" t="s">
        <v>33</v>
      </c>
      <c r="C27" s="4" t="s">
        <v>34</v>
      </c>
      <c r="D27" s="4" t="s">
        <v>35</v>
      </c>
      <c r="E27" s="4" t="s">
        <v>36</v>
      </c>
      <c r="F27" s="4" t="s">
        <v>37</v>
      </c>
      <c r="G27" s="4" t="s">
        <v>38</v>
      </c>
      <c r="H27" s="4" t="s">
        <v>39</v>
      </c>
    </row>
    <row r="28" customFormat="false" ht="19.5" hidden="false" customHeight="true" outlineLevel="0" collapsed="false">
      <c r="A28" s="37" t="s">
        <v>40</v>
      </c>
      <c r="B28" s="38" t="s">
        <v>41</v>
      </c>
      <c r="C28" s="38" t="s">
        <v>42</v>
      </c>
      <c r="D28" s="38" t="s">
        <v>43</v>
      </c>
      <c r="E28" s="39" t="n">
        <v>0.6</v>
      </c>
      <c r="F28" s="40" t="n">
        <v>120000</v>
      </c>
      <c r="G28" s="41" t="e">
        <f aca="false">F17*3.8748</f>
        <v>#VALUE!</v>
      </c>
      <c r="H28" s="37" t="s">
        <v>44</v>
      </c>
    </row>
    <row r="29" customFormat="false" ht="19.5" hidden="false" customHeight="true" outlineLevel="0" collapsed="false">
      <c r="A29" s="13" t="s">
        <v>45</v>
      </c>
      <c r="B29" s="42" t="s">
        <v>46</v>
      </c>
      <c r="C29" s="42" t="s">
        <v>42</v>
      </c>
      <c r="D29" s="42" t="s">
        <v>47</v>
      </c>
      <c r="E29" s="43" t="n">
        <v>0.25</v>
      </c>
      <c r="F29" s="7" t="n">
        <v>50000</v>
      </c>
      <c r="G29" s="15" t="e">
        <f aca="false">F18*3.8748</f>
        <v>#VALUE!</v>
      </c>
      <c r="H29" s="13" t="s">
        <v>48</v>
      </c>
    </row>
    <row r="30" customFormat="false" ht="19.5" hidden="false" customHeight="true" outlineLevel="0" collapsed="false">
      <c r="A30" s="37" t="s">
        <v>49</v>
      </c>
      <c r="B30" s="38" t="s">
        <v>50</v>
      </c>
      <c r="C30" s="38" t="s">
        <v>42</v>
      </c>
      <c r="D30" s="38" t="s">
        <v>51</v>
      </c>
      <c r="E30" s="39" t="n">
        <v>0.15</v>
      </c>
      <c r="F30" s="40" t="n">
        <v>30000</v>
      </c>
      <c r="G30" s="41" t="e">
        <f aca="false">F19*3.8748</f>
        <v>#VALUE!</v>
      </c>
      <c r="H30" s="37" t="s">
        <v>52</v>
      </c>
    </row>
    <row r="31" customFormat="false" ht="19.5" hidden="false" customHeight="true" outlineLevel="0" collapsed="false">
      <c r="A31" s="44" t="s">
        <v>53</v>
      </c>
      <c r="B31" s="45"/>
      <c r="C31" s="45"/>
      <c r="D31" s="45"/>
      <c r="E31" s="46" t="n">
        <f aca="false">SUM(E17:E19)</f>
        <v>1.03364836755281</v>
      </c>
      <c r="F31" s="47" t="n">
        <f aca="false">SUM(F17:F19)</f>
        <v>0</v>
      </c>
      <c r="G31" s="48" t="n">
        <f aca="false">SUM(G17:G19)</f>
        <v>0</v>
      </c>
      <c r="H31" s="44" t="s">
        <v>54</v>
      </c>
    </row>
    <row r="32" customFormat="false" ht="15" hidden="false" customHeight="true" outlineLevel="0" collapsed="false"/>
    <row r="33" customFormat="false" ht="19.5" hidden="false" customHeight="true" outlineLevel="0" collapsed="false">
      <c r="A33" s="3" t="s">
        <v>55</v>
      </c>
    </row>
    <row r="34" customFormat="false" ht="19.5" hidden="false" customHeight="true" outlineLevel="0" collapsed="false">
      <c r="A34" s="4" t="s">
        <v>56</v>
      </c>
      <c r="B34" s="4" t="s">
        <v>57</v>
      </c>
      <c r="C34" s="4" t="s">
        <v>58</v>
      </c>
      <c r="D34" s="4" t="s">
        <v>59</v>
      </c>
      <c r="E34" s="4" t="s">
        <v>60</v>
      </c>
      <c r="F34" s="49"/>
      <c r="G34" s="49"/>
      <c r="H34" s="49"/>
    </row>
    <row r="35" customFormat="false" ht="19.5" hidden="false" customHeight="true" outlineLevel="0" collapsed="false">
      <c r="A35" s="13" t="s">
        <v>61</v>
      </c>
      <c r="B35" s="50" t="n">
        <v>1</v>
      </c>
      <c r="C35" s="50" t="n">
        <v>0.4</v>
      </c>
      <c r="D35" s="50" t="n">
        <v>0.25</v>
      </c>
      <c r="E35" s="13" t="s">
        <v>62</v>
      </c>
      <c r="F35" s="51"/>
      <c r="G35" s="51"/>
      <c r="H35" s="51"/>
    </row>
    <row r="36" customFormat="false" ht="15" hidden="false" customHeight="true" outlineLevel="0" collapsed="false">
      <c r="A36" s="37" t="s">
        <v>58</v>
      </c>
      <c r="B36" s="52" t="n">
        <v>0.4</v>
      </c>
      <c r="C36" s="52" t="n">
        <v>1</v>
      </c>
      <c r="D36" s="52" t="n">
        <v>0.55</v>
      </c>
      <c r="E36" s="37" t="s">
        <v>63</v>
      </c>
      <c r="F36" s="51"/>
      <c r="G36" s="51"/>
      <c r="H36" s="51"/>
    </row>
    <row r="37" customFormat="false" ht="24" hidden="false" customHeight="true" outlineLevel="0" collapsed="false">
      <c r="A37" s="13" t="s">
        <v>64</v>
      </c>
      <c r="B37" s="50" t="n">
        <v>0.25</v>
      </c>
      <c r="C37" s="50" t="n">
        <v>0.55</v>
      </c>
      <c r="D37" s="50" t="n">
        <v>1</v>
      </c>
      <c r="E37" s="13" t="s">
        <v>65</v>
      </c>
      <c r="F37" s="51"/>
      <c r="G37" s="51"/>
      <c r="H37" s="51"/>
    </row>
    <row r="39" customFormat="false" ht="15" hidden="false" customHeight="false" outlineLevel="0" collapsed="false">
      <c r="A39" s="53" t="s">
        <v>66</v>
      </c>
    </row>
    <row r="40" customFormat="false" ht="15" hidden="false" customHeight="false" outlineLevel="0" collapsed="false">
      <c r="A40" s="54" t="s">
        <v>67</v>
      </c>
      <c r="B40" s="54" t="s">
        <v>68</v>
      </c>
      <c r="C40" s="54" t="s">
        <v>69</v>
      </c>
    </row>
    <row r="41" customFormat="false" ht="15" hidden="false" customHeight="false" outlineLevel="0" collapsed="false">
      <c r="A41" s="55" t="s">
        <v>70</v>
      </c>
      <c r="B41" s="56" t="n">
        <f aca="false">B6</f>
        <v>370581.783320881</v>
      </c>
      <c r="C41" s="56" t="n">
        <f aca="false">B7</f>
        <v>284916.203386673</v>
      </c>
    </row>
    <row r="42" customFormat="false" ht="15" hidden="false" customHeight="false" outlineLevel="0" collapsed="false">
      <c r="A42" s="55" t="s">
        <v>71</v>
      </c>
      <c r="B42" s="56" t="n">
        <f aca="false">C6</f>
        <v>359230.265328336</v>
      </c>
      <c r="C42" s="56" t="n">
        <f aca="false">C7</f>
        <v>275977.235512263</v>
      </c>
    </row>
    <row r="44" customFormat="false" ht="15" hidden="false" customHeight="false" outlineLevel="0" collapsed="false">
      <c r="A44" s="54" t="s">
        <v>67</v>
      </c>
      <c r="B44" s="54" t="s">
        <v>72</v>
      </c>
      <c r="C44" s="54" t="s">
        <v>73</v>
      </c>
    </row>
    <row r="45" customFormat="false" ht="15" hidden="false" customHeight="false" outlineLevel="0" collapsed="false">
      <c r="A45" s="55" t="s">
        <v>70</v>
      </c>
      <c r="B45" s="57" t="n">
        <f aca="false">B12</f>
        <v>200362.781121025</v>
      </c>
      <c r="C45" s="57" t="n">
        <f aca="false">B13</f>
        <v>135550.995806626</v>
      </c>
    </row>
    <row r="46" customFormat="false" ht="15" hidden="false" customHeight="false" outlineLevel="0" collapsed="false">
      <c r="A46" s="55" t="s">
        <v>71</v>
      </c>
      <c r="B46" s="57" t="n">
        <f aca="false">C12</f>
        <v>190036.242132397</v>
      </c>
      <c r="C46" s="57" t="n">
        <f aca="false">C13</f>
        <v>130550.45083482</v>
      </c>
    </row>
    <row r="48" customFormat="false" ht="15" hidden="false" customHeight="false" outlineLevel="0" collapsed="false">
      <c r="A48" s="58" t="s">
        <v>74</v>
      </c>
    </row>
  </sheetData>
  <mergeCells count="9">
    <mergeCell ref="A14:G14"/>
    <mergeCell ref="F16:G16"/>
    <mergeCell ref="F17:G17"/>
    <mergeCell ref="F18:G18"/>
    <mergeCell ref="F19:G19"/>
    <mergeCell ref="F20:G20"/>
    <mergeCell ref="F21:G21"/>
    <mergeCell ref="F22:G22"/>
    <mergeCell ref="F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8"/>
    <col collapsed="false" customWidth="true" hidden="false" outlineLevel="0" max="4" min="2" style="0" width="32"/>
    <col collapsed="false" customWidth="true" hidden="false" outlineLevel="0" max="5" min="5" style="0" width="46"/>
    <col collapsed="false" customWidth="true" hidden="false" outlineLevel="0" max="8" min="6" style="0" width="32"/>
    <col collapsed="false" customWidth="true" hidden="false" outlineLevel="0" max="9" min="9" style="0" width="46"/>
    <col collapsed="false" customWidth="true" hidden="false" outlineLevel="0" max="12" min="10" style="0" width="22"/>
    <col collapsed="false" customWidth="true" hidden="false" outlineLevel="0" max="13" min="13" style="0" width="17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22"/>
  </cols>
  <sheetData>
    <row r="1" customFormat="false" ht="15" hidden="false" customHeight="false" outlineLevel="0" collapsed="false">
      <c r="A1" s="59" t="s">
        <v>75</v>
      </c>
    </row>
    <row r="2" customFormat="false" ht="15" hidden="false" customHeight="false" outlineLevel="0" collapsed="false">
      <c r="A2" s="60" t="s">
        <v>76</v>
      </c>
    </row>
    <row r="4" customFormat="false" ht="24.75" hidden="false" customHeight="true" outlineLevel="0" collapsed="false">
      <c r="C4" s="61" t="s">
        <v>77</v>
      </c>
      <c r="D4" s="61"/>
      <c r="E4" s="61"/>
      <c r="F4" s="61"/>
      <c r="G4" s="61"/>
      <c r="H4" s="61"/>
      <c r="I4" s="61"/>
      <c r="J4" s="62" t="s">
        <v>78</v>
      </c>
      <c r="K4" s="62"/>
      <c r="L4" s="62"/>
      <c r="M4" s="62"/>
      <c r="N4" s="62"/>
      <c r="O4" s="62"/>
      <c r="P4" s="62"/>
    </row>
    <row r="5" customFormat="false" ht="24.75" hidden="false" customHeight="true" outlineLevel="0" collapsed="false">
      <c r="A5" s="63" t="s">
        <v>79</v>
      </c>
      <c r="B5" s="63" t="s">
        <v>80</v>
      </c>
      <c r="C5" s="23" t="s">
        <v>81</v>
      </c>
      <c r="D5" s="23" t="s">
        <v>82</v>
      </c>
      <c r="E5" s="23" t="s">
        <v>83</v>
      </c>
      <c r="F5" s="23" t="s">
        <v>84</v>
      </c>
      <c r="G5" s="23" t="s">
        <v>85</v>
      </c>
      <c r="H5" s="23" t="s">
        <v>86</v>
      </c>
      <c r="I5" s="23" t="s">
        <v>87</v>
      </c>
      <c r="J5" s="63" t="s">
        <v>81</v>
      </c>
      <c r="K5" s="63" t="s">
        <v>82</v>
      </c>
      <c r="L5" s="63" t="s">
        <v>83</v>
      </c>
      <c r="M5" s="63" t="s">
        <v>84</v>
      </c>
      <c r="N5" s="63" t="s">
        <v>85</v>
      </c>
      <c r="O5" s="63" t="s">
        <v>86</v>
      </c>
      <c r="P5" s="63" t="s">
        <v>87</v>
      </c>
    </row>
    <row r="6" customFormat="false" ht="18.75" hidden="false" customHeight="true" outlineLevel="0" collapsed="false">
      <c r="A6" s="24" t="s">
        <v>88</v>
      </c>
      <c r="B6" s="64" t="n">
        <v>3.8748</v>
      </c>
      <c r="C6" s="65" t="n">
        <v>120000</v>
      </c>
      <c r="D6" s="65" t="n">
        <v>50000</v>
      </c>
      <c r="E6" s="65" t="n">
        <v>30000</v>
      </c>
      <c r="F6" s="25" t="n">
        <f aca="false">SUM(C6:E6)</f>
        <v>200000</v>
      </c>
      <c r="G6" s="65" t="n">
        <v>0</v>
      </c>
      <c r="H6" s="32" t="n">
        <f aca="false">F6*B6</f>
        <v>774960</v>
      </c>
      <c r="I6" s="32" t="n">
        <v>774960</v>
      </c>
      <c r="J6" s="65" t="n">
        <v>120000</v>
      </c>
      <c r="K6" s="65" t="n">
        <v>50000</v>
      </c>
      <c r="L6" s="65" t="n">
        <v>30000</v>
      </c>
      <c r="M6" s="25" t="n">
        <f aca="false">SUM(J6:L6)</f>
        <v>200000</v>
      </c>
      <c r="N6" s="65" t="n">
        <v>0</v>
      </c>
      <c r="O6" s="32" t="n">
        <f aca="false">M6*B6</f>
        <v>774960</v>
      </c>
      <c r="P6" s="32" t="n">
        <v>774960</v>
      </c>
    </row>
    <row r="7" customFormat="false" ht="18.75" hidden="false" customHeight="true" outlineLevel="0" collapsed="false">
      <c r="A7" s="28" t="s">
        <v>89</v>
      </c>
      <c r="B7" s="66" t="n">
        <v>3.913775</v>
      </c>
      <c r="C7" s="67" t="n">
        <v>128341.64765661</v>
      </c>
      <c r="D7" s="67" t="n">
        <v>53476.457610595</v>
      </c>
      <c r="E7" s="67" t="n">
        <v>32085.9452874646</v>
      </c>
      <c r="F7" s="29" t="n">
        <f aca="false">SUM(C7:E7)</f>
        <v>213904.050554669</v>
      </c>
      <c r="G7" s="67" t="n">
        <v>5000</v>
      </c>
      <c r="H7" s="33" t="n">
        <f aca="false">F7*B7</f>
        <v>837172.325459601</v>
      </c>
      <c r="I7" s="33" t="n">
        <v>794528.874999999</v>
      </c>
      <c r="J7" s="67" t="n">
        <v>131341.64765661</v>
      </c>
      <c r="K7" s="67" t="n">
        <v>54726.457610595</v>
      </c>
      <c r="L7" s="67" t="n">
        <v>32835.9452874646</v>
      </c>
      <c r="M7" s="29" t="n">
        <f aca="false">SUM(J7:L7)</f>
        <v>218904.050554669</v>
      </c>
      <c r="N7" s="67" t="n">
        <v>10000</v>
      </c>
      <c r="O7" s="33" t="n">
        <f aca="false">M7*B7</f>
        <v>856741.200459601</v>
      </c>
      <c r="P7" s="33" t="n">
        <v>814097.750000054</v>
      </c>
    </row>
    <row r="8" customFormat="false" ht="18.75" hidden="false" customHeight="true" outlineLevel="0" collapsed="false">
      <c r="A8" s="24" t="s">
        <v>90</v>
      </c>
      <c r="B8" s="64" t="n">
        <v>3.95275</v>
      </c>
      <c r="C8" s="65" t="n">
        <v>137055.956401925</v>
      </c>
      <c r="D8" s="65" t="n">
        <v>57106.7277154183</v>
      </c>
      <c r="E8" s="65" t="n">
        <v>34264.3970819045</v>
      </c>
      <c r="F8" s="25" t="n">
        <f aca="false">SUM(C8:E8)</f>
        <v>228427.081199248</v>
      </c>
      <c r="G8" s="65" t="n">
        <v>5000</v>
      </c>
      <c r="H8" s="32" t="n">
        <f aca="false">F8*B8</f>
        <v>902915.145210326</v>
      </c>
      <c r="I8" s="32" t="n">
        <v>814292.624999983</v>
      </c>
      <c r="J8" s="65" t="n">
        <v>143190.17259334</v>
      </c>
      <c r="K8" s="65" t="n">
        <v>59662.1891556832</v>
      </c>
      <c r="L8" s="65" t="n">
        <v>35797.3207140911</v>
      </c>
      <c r="M8" s="25" t="n">
        <f aca="false">SUM(J8:L8)</f>
        <v>238649.682463114</v>
      </c>
      <c r="N8" s="65" t="n">
        <v>10000</v>
      </c>
      <c r="O8" s="32" t="n">
        <f aca="false">M8*B8</f>
        <v>943322.532356075</v>
      </c>
      <c r="P8" s="32" t="n">
        <v>853625.250000022</v>
      </c>
    </row>
    <row r="9" customFormat="false" ht="18.75" hidden="false" customHeight="true" outlineLevel="0" collapsed="false">
      <c r="A9" s="28" t="s">
        <v>91</v>
      </c>
      <c r="B9" s="66" t="n">
        <v>3.991725</v>
      </c>
      <c r="C9" s="67" t="n">
        <v>146157.561197369</v>
      </c>
      <c r="D9" s="67" t="n">
        <v>60898.9433445772</v>
      </c>
      <c r="E9" s="67" t="n">
        <v>36540.1960940998</v>
      </c>
      <c r="F9" s="29" t="n">
        <f aca="false">SUM(C9:E9)</f>
        <v>243596.700636046</v>
      </c>
      <c r="G9" s="67" t="n">
        <v>5000</v>
      </c>
      <c r="H9" s="33" t="n">
        <f aca="false">F9*B9</f>
        <v>972371.03984642</v>
      </c>
      <c r="I9" s="33" t="n">
        <v>834251.250000004</v>
      </c>
      <c r="J9" s="67" t="n">
        <v>155564.36189269</v>
      </c>
      <c r="K9" s="67" t="n">
        <v>64818.4573678905</v>
      </c>
      <c r="L9" s="67" t="n">
        <v>38891.6221108956</v>
      </c>
      <c r="M9" s="29" t="n">
        <f aca="false">SUM(J9:L9)</f>
        <v>259274.441371476</v>
      </c>
      <c r="N9" s="67" t="n">
        <v>10000</v>
      </c>
      <c r="O9" s="33" t="n">
        <f aca="false">M9*B9</f>
        <v>1034952.26948356</v>
      </c>
      <c r="P9" s="33" t="n">
        <v>893542.500000127</v>
      </c>
    </row>
    <row r="10" customFormat="false" ht="18.75" hidden="false" customHeight="true" outlineLevel="0" collapsed="false">
      <c r="A10" s="24" t="s">
        <v>92</v>
      </c>
      <c r="B10" s="64" t="n">
        <v>4.0307</v>
      </c>
      <c r="C10" s="65" t="n">
        <v>155664.985913344</v>
      </c>
      <c r="D10" s="65" t="n">
        <v>64860.4031911067</v>
      </c>
      <c r="E10" s="65" t="n">
        <v>38916.2793561466</v>
      </c>
      <c r="F10" s="25" t="n">
        <f aca="false">SUM(C10:E10)</f>
        <v>259441.668460597</v>
      </c>
      <c r="G10" s="65" t="n">
        <v>5000</v>
      </c>
      <c r="H10" s="32" t="n">
        <f aca="false">F10*B10</f>
        <v>1045731.53306413</v>
      </c>
      <c r="I10" s="32" t="n">
        <v>854404.750000019</v>
      </c>
      <c r="J10" s="65" t="n">
        <v>168490.1437407</v>
      </c>
      <c r="K10" s="65" t="n">
        <v>70204.7543921575</v>
      </c>
      <c r="L10" s="65" t="n">
        <v>42122.4944622607</v>
      </c>
      <c r="M10" s="25" t="n">
        <f aca="false">SUM(J10:L10)</f>
        <v>280817.392595118</v>
      </c>
      <c r="N10" s="65" t="n">
        <v>10000</v>
      </c>
      <c r="O10" s="32" t="n">
        <f aca="false">M10*B10</f>
        <v>1131890.66433314</v>
      </c>
      <c r="P10" s="32" t="n">
        <v>933849.500000157</v>
      </c>
    </row>
    <row r="11" customFormat="false" ht="18.75" hidden="false" customHeight="true" outlineLevel="0" collapsed="false">
      <c r="A11" s="28" t="s">
        <v>93</v>
      </c>
      <c r="B11" s="66" t="n">
        <v>4.3222</v>
      </c>
      <c r="C11" s="67" t="n">
        <v>163586.019876919</v>
      </c>
      <c r="D11" s="67" t="n">
        <v>68160.8794540905</v>
      </c>
      <c r="E11" s="67" t="n">
        <v>40897.0258222396</v>
      </c>
      <c r="F11" s="29" t="n">
        <f aca="false">SUM(C11:E11)</f>
        <v>272643.925153249</v>
      </c>
      <c r="G11" s="67" t="n">
        <v>5000</v>
      </c>
      <c r="H11" s="33" t="n">
        <f aca="false">F11*B11</f>
        <v>1178421.57329737</v>
      </c>
      <c r="I11" s="33" t="n">
        <v>876015.749999995</v>
      </c>
      <c r="J11" s="67" t="n">
        <v>179816.727488763</v>
      </c>
      <c r="K11" s="67" t="n">
        <v>74924.4996393666</v>
      </c>
      <c r="L11" s="67" t="n">
        <v>44954.2149672581</v>
      </c>
      <c r="M11" s="29" t="n">
        <f aca="false">SUM(J11:L11)</f>
        <v>299695.442095388</v>
      </c>
      <c r="N11" s="67" t="n">
        <v>10000</v>
      </c>
      <c r="O11" s="33" t="n">
        <f aca="false">M11*B11</f>
        <v>1295343.63982469</v>
      </c>
      <c r="P11" s="33" t="n">
        <v>977071.500000392</v>
      </c>
    </row>
    <row r="12" customFormat="false" ht="18.75" hidden="false" customHeight="true" outlineLevel="0" collapsed="false">
      <c r="A12" s="24" t="s">
        <v>94</v>
      </c>
      <c r="B12" s="64" t="n">
        <v>4.6137</v>
      </c>
      <c r="C12" s="65" t="n">
        <v>171758.025667902</v>
      </c>
      <c r="D12" s="65" t="n">
        <v>71565.5982862077</v>
      </c>
      <c r="E12" s="65" t="n">
        <v>42939.9387195535</v>
      </c>
      <c r="F12" s="25" t="n">
        <f aca="false">SUM(C12:E12)</f>
        <v>286263.562673663</v>
      </c>
      <c r="G12" s="65" t="n">
        <v>5000</v>
      </c>
      <c r="H12" s="32" t="n">
        <f aca="false">F12*B12</f>
        <v>1320734.19910748</v>
      </c>
      <c r="I12" s="32" t="n">
        <v>899084.24999993</v>
      </c>
      <c r="J12" s="65" t="n">
        <v>191501.542023645</v>
      </c>
      <c r="K12" s="65" t="n">
        <v>79793.003457222</v>
      </c>
      <c r="L12" s="65" t="n">
        <v>47875.7732244125</v>
      </c>
      <c r="M12" s="25" t="n">
        <f aca="false">SUM(J12:L12)</f>
        <v>319170.318705279</v>
      </c>
      <c r="N12" s="65" t="n">
        <v>10000</v>
      </c>
      <c r="O12" s="32" t="n">
        <f aca="false">M12*B12</f>
        <v>1472556.09941055</v>
      </c>
      <c r="P12" s="32" t="n">
        <v>1023208.50000026</v>
      </c>
    </row>
    <row r="13" customFormat="false" ht="18.75" hidden="false" customHeight="true" outlineLevel="0" collapsed="false">
      <c r="A13" s="28" t="s">
        <v>95</v>
      </c>
      <c r="B13" s="66" t="n">
        <v>4.9052</v>
      </c>
      <c r="C13" s="67" t="n">
        <v>180188.602714037</v>
      </c>
      <c r="D13" s="67" t="n">
        <v>75078.3151654016</v>
      </c>
      <c r="E13" s="67" t="n">
        <v>45046.8706761793</v>
      </c>
      <c r="F13" s="29" t="n">
        <f aca="false">SUM(C13:E13)</f>
        <v>300313.788555618</v>
      </c>
      <c r="G13" s="67" t="n">
        <v>5000</v>
      </c>
      <c r="H13" s="33" t="n">
        <f aca="false">F13*B13</f>
        <v>1473099.19562302</v>
      </c>
      <c r="I13" s="33" t="n">
        <v>923610.249999918</v>
      </c>
      <c r="J13" s="67" t="n">
        <v>203556.289323724</v>
      </c>
      <c r="K13" s="67" t="n">
        <v>84815.1980297027</v>
      </c>
      <c r="L13" s="67" t="n">
        <v>50889.4013808749</v>
      </c>
      <c r="M13" s="29" t="n">
        <f aca="false">SUM(J13:L13)</f>
        <v>339260.888734302</v>
      </c>
      <c r="N13" s="67" t="n">
        <v>10000</v>
      </c>
      <c r="O13" s="33" t="n">
        <f aca="false">M13*B13</f>
        <v>1664142.5114195</v>
      </c>
      <c r="P13" s="33" t="n">
        <v>1072260.5000004</v>
      </c>
    </row>
    <row r="14" customFormat="false" ht="18.75" hidden="false" customHeight="true" outlineLevel="0" collapsed="false">
      <c r="A14" s="24" t="s">
        <v>96</v>
      </c>
      <c r="B14" s="64" t="n">
        <v>5.1967</v>
      </c>
      <c r="C14" s="65" t="n">
        <v>188884.641113768</v>
      </c>
      <c r="D14" s="65" t="n">
        <v>78701.8848393925</v>
      </c>
      <c r="E14" s="65" t="n">
        <v>47221.6997294637</v>
      </c>
      <c r="F14" s="25" t="n">
        <f aca="false">SUM(C14:E14)</f>
        <v>314808.225682625</v>
      </c>
      <c r="G14" s="65" t="n">
        <v>5000</v>
      </c>
      <c r="H14" s="32" t="n">
        <f aca="false">F14*B14</f>
        <v>1635963.90640489</v>
      </c>
      <c r="I14" s="32" t="n">
        <v>949593.749999848</v>
      </c>
      <c r="J14" s="65" t="n">
        <v>215991.118956647</v>
      </c>
      <c r="K14" s="65" t="n">
        <v>89997.1459148205</v>
      </c>
      <c r="L14" s="65" t="n">
        <v>53998.3621982504</v>
      </c>
      <c r="M14" s="25" t="n">
        <f aca="false">SUM(J14:L14)</f>
        <v>359986.627069718</v>
      </c>
      <c r="N14" s="65" t="n">
        <v>10000</v>
      </c>
      <c r="O14" s="32" t="n">
        <f aca="false">M14*B14</f>
        <v>1870742.50489321</v>
      </c>
      <c r="P14" s="32" t="n">
        <v>1124227.50000018</v>
      </c>
    </row>
    <row r="15" customFormat="false" ht="18.75" hidden="false" customHeight="true" outlineLevel="0" collapsed="false">
      <c r="A15" s="28" t="s">
        <v>97</v>
      </c>
      <c r="B15" s="66" t="n">
        <v>5.29265</v>
      </c>
      <c r="C15" s="67" t="n">
        <v>197390.593913164</v>
      </c>
      <c r="D15" s="67" t="n">
        <v>82246.7441907093</v>
      </c>
      <c r="E15" s="67" t="n">
        <v>49347.5489265428</v>
      </c>
      <c r="F15" s="29" t="n">
        <f aca="false">SUM(C15:E15)</f>
        <v>328984.887030416</v>
      </c>
      <c r="G15" s="67" t="n">
        <v>5000</v>
      </c>
      <c r="H15" s="33" t="n">
        <f aca="false">F15*B15</f>
        <v>1741201.86234153</v>
      </c>
      <c r="I15" s="33" t="n">
        <v>976056.999999869</v>
      </c>
      <c r="J15" s="67" t="n">
        <v>228288.10938656</v>
      </c>
      <c r="K15" s="67" t="n">
        <v>95119.750189593</v>
      </c>
      <c r="L15" s="67" t="n">
        <v>57072.3675287011</v>
      </c>
      <c r="M15" s="29" t="n">
        <f aca="false">SUM(J15:L15)</f>
        <v>380480.227104854</v>
      </c>
      <c r="N15" s="67" t="n">
        <v>10000</v>
      </c>
      <c r="O15" s="33" t="n">
        <f aca="false">M15*B15</f>
        <v>2013748.6739865</v>
      </c>
      <c r="P15" s="33" t="n">
        <v>1177154.00000009</v>
      </c>
    </row>
    <row r="16" customFormat="false" ht="18.75" hidden="false" customHeight="true" outlineLevel="0" collapsed="false">
      <c r="A16" s="24" t="s">
        <v>98</v>
      </c>
      <c r="B16" s="64" t="n">
        <v>5.3886</v>
      </c>
      <c r="C16" s="65" t="n">
        <v>206144.270922345</v>
      </c>
      <c r="D16" s="65" t="n">
        <v>85893.6202628369</v>
      </c>
      <c r="E16" s="65" t="n">
        <v>51536.9182668399</v>
      </c>
      <c r="F16" s="25" t="n">
        <f aca="false">SUM(C16:E16)</f>
        <v>343574.809452021</v>
      </c>
      <c r="G16" s="65" t="n">
        <v>5000</v>
      </c>
      <c r="H16" s="32" t="n">
        <f aca="false">F16*B16</f>
        <v>1851387.21821316</v>
      </c>
      <c r="I16" s="32" t="n">
        <v>1002999.9999999</v>
      </c>
      <c r="J16" s="65" t="n">
        <v>240942.161565807</v>
      </c>
      <c r="K16" s="65" t="n">
        <v>100393.522771476</v>
      </c>
      <c r="L16" s="65" t="n">
        <v>60235.5568898674</v>
      </c>
      <c r="M16" s="25" t="n">
        <f aca="false">SUM(J16:L16)</f>
        <v>401571.241227151</v>
      </c>
      <c r="N16" s="65" t="n">
        <v>10000</v>
      </c>
      <c r="O16" s="32" t="n">
        <f aca="false">M16*B16</f>
        <v>2163906.79047663</v>
      </c>
      <c r="P16" s="32" t="n">
        <v>1231039.99999999</v>
      </c>
    </row>
    <row r="17" customFormat="false" ht="18.75" hidden="false" customHeight="true" outlineLevel="0" collapsed="false">
      <c r="A17" s="28" t="s">
        <v>99</v>
      </c>
      <c r="B17" s="66" t="n">
        <v>5.48455</v>
      </c>
      <c r="C17" s="67" t="n">
        <v>215153.410728234</v>
      </c>
      <c r="D17" s="67" t="n">
        <v>89648.010033443</v>
      </c>
      <c r="E17" s="67" t="n">
        <v>53788.5842530462</v>
      </c>
      <c r="F17" s="29" t="n">
        <f aca="false">SUM(C17:E17)</f>
        <v>358590.005014724</v>
      </c>
      <c r="G17" s="67" t="n">
        <v>5000</v>
      </c>
      <c r="H17" s="33" t="n">
        <f aca="false">F17*B17</f>
        <v>1966704.8120035</v>
      </c>
      <c r="I17" s="33" t="n">
        <v>1030422.74999987</v>
      </c>
      <c r="J17" s="67" t="n">
        <v>253965.753749969</v>
      </c>
      <c r="K17" s="67" t="n">
        <v>105819.681880955</v>
      </c>
      <c r="L17" s="67" t="n">
        <v>63491.6164853717</v>
      </c>
      <c r="M17" s="29" t="n">
        <f aca="false">SUM(J17:L17)</f>
        <v>423277.052116296</v>
      </c>
      <c r="N17" s="67" t="n">
        <v>10000</v>
      </c>
      <c r="O17" s="33" t="n">
        <f aca="false">M17*B17</f>
        <v>2321484.15618443</v>
      </c>
      <c r="P17" s="33" t="n">
        <v>1285885.50000008</v>
      </c>
    </row>
    <row r="18" customFormat="false" ht="18.75" hidden="false" customHeight="true" outlineLevel="0" collapsed="false">
      <c r="A18" s="24" t="s">
        <v>100</v>
      </c>
      <c r="B18" s="64" t="n">
        <v>5.5805</v>
      </c>
      <c r="C18" s="65" t="n">
        <v>224480.087377452</v>
      </c>
      <c r="D18" s="65" t="n">
        <v>93483.4911420001</v>
      </c>
      <c r="E18" s="65" t="n">
        <v>56079.3276927609</v>
      </c>
      <c r="F18" s="25" t="n">
        <f aca="false">SUM(C18:E18)</f>
        <v>374042.906212213</v>
      </c>
      <c r="G18" s="65" t="n">
        <v>5000</v>
      </c>
      <c r="H18" s="32" t="n">
        <f aca="false">F18*B18</f>
        <v>2087346.43811726</v>
      </c>
      <c r="I18" s="32" t="n">
        <v>1058325.24999985</v>
      </c>
      <c r="J18" s="65" t="n">
        <v>267368.905114029</v>
      </c>
      <c r="K18" s="65" t="n">
        <v>111404.463614492</v>
      </c>
      <c r="L18" s="65" t="n">
        <v>66842.2195488313</v>
      </c>
      <c r="M18" s="25" t="n">
        <f aca="false">SUM(J18:L18)</f>
        <v>445615.588277353</v>
      </c>
      <c r="N18" s="65" t="n">
        <v>10000</v>
      </c>
      <c r="O18" s="32" t="n">
        <f aca="false">M18*B18</f>
        <v>2486757.79038177</v>
      </c>
      <c r="P18" s="32" t="n">
        <v>1341690.50000009</v>
      </c>
    </row>
    <row r="19" customFormat="false" ht="18.75" hidden="false" customHeight="true" outlineLevel="0" collapsed="false">
      <c r="A19" s="28" t="s">
        <v>101</v>
      </c>
      <c r="B19" s="66" t="n">
        <v>5.4898</v>
      </c>
      <c r="C19" s="67" t="n">
        <v>218079.170785205</v>
      </c>
      <c r="D19" s="67" t="n">
        <v>90852.5511693071</v>
      </c>
      <c r="E19" s="67" t="n">
        <v>54575.9003654449</v>
      </c>
      <c r="F19" s="29" t="n">
        <f aca="false">SUM(C19:E19)</f>
        <v>363507.622319957</v>
      </c>
      <c r="G19" s="67" t="n">
        <v>5000</v>
      </c>
      <c r="H19" s="33" t="n">
        <f aca="false">F19*B19</f>
        <v>1995584.1450121</v>
      </c>
      <c r="I19" s="33" t="n">
        <v>1085774.24999975</v>
      </c>
      <c r="J19" s="67" t="n">
        <v>262265.365700529</v>
      </c>
      <c r="K19" s="67" t="n">
        <v>109277.233198688</v>
      </c>
      <c r="L19" s="67" t="n">
        <v>65566.2505002947</v>
      </c>
      <c r="M19" s="29" t="n">
        <f aca="false">SUM(J19:L19)</f>
        <v>437108.849399511</v>
      </c>
      <c r="N19" s="67" t="n">
        <v>10000</v>
      </c>
      <c r="O19" s="33" t="n">
        <f aca="false">M19*B19</f>
        <v>2399640.16143344</v>
      </c>
      <c r="P19" s="33" t="n">
        <v>1396588.4999999</v>
      </c>
    </row>
    <row r="20" customFormat="false" ht="18.75" hidden="false" customHeight="true" outlineLevel="0" collapsed="false">
      <c r="A20" s="24" t="s">
        <v>102</v>
      </c>
      <c r="B20" s="64" t="n">
        <v>5.3991</v>
      </c>
      <c r="C20" s="65" t="n">
        <v>211996.372510256</v>
      </c>
      <c r="D20" s="65" t="n">
        <v>88302.4449480735</v>
      </c>
      <c r="E20" s="65" t="n">
        <v>53112.7783310329</v>
      </c>
      <c r="F20" s="25" t="n">
        <f aca="false">SUM(C20:E20)</f>
        <v>353411.595789362</v>
      </c>
      <c r="G20" s="65" t="n">
        <v>5000</v>
      </c>
      <c r="H20" s="32" t="n">
        <f aca="false">F20*B20</f>
        <v>1908104.54682635</v>
      </c>
      <c r="I20" s="32" t="n">
        <v>1112769.74999992</v>
      </c>
      <c r="J20" s="65" t="n">
        <v>257372.885228543</v>
      </c>
      <c r="K20" s="65" t="n">
        <v>107239.020225158</v>
      </c>
      <c r="L20" s="65" t="n">
        <v>64343.4888293302</v>
      </c>
      <c r="M20" s="25" t="n">
        <f aca="false">SUM(J20:L20)</f>
        <v>428955.394283031</v>
      </c>
      <c r="N20" s="65" t="n">
        <v>10000</v>
      </c>
      <c r="O20" s="32" t="n">
        <f aca="false">M20*B20</f>
        <v>2315973.06927351</v>
      </c>
      <c r="P20" s="32" t="n">
        <v>1450579.50000016</v>
      </c>
    </row>
    <row r="21" customFormat="false" ht="18.75" hidden="false" customHeight="true" outlineLevel="0" collapsed="false">
      <c r="A21" s="28" t="s">
        <v>103</v>
      </c>
      <c r="B21" s="66" t="n">
        <v>5.3084</v>
      </c>
      <c r="C21" s="67" t="n">
        <v>206177.230324009</v>
      </c>
      <c r="D21" s="67" t="n">
        <v>85869.4738490229</v>
      </c>
      <c r="E21" s="67" t="n">
        <v>51688.8810473488</v>
      </c>
      <c r="F21" s="29" t="n">
        <f aca="false">SUM(C21:E21)</f>
        <v>343735.58522038</v>
      </c>
      <c r="G21" s="67" t="n">
        <v>5000</v>
      </c>
      <c r="H21" s="33" t="n">
        <f aca="false">F21*B21</f>
        <v>1824685.98058387</v>
      </c>
      <c r="I21" s="33" t="n">
        <v>1139311.74999982</v>
      </c>
      <c r="J21" s="67" t="n">
        <v>252684.205119977</v>
      </c>
      <c r="K21" s="67" t="n">
        <v>105284.852852668</v>
      </c>
      <c r="L21" s="67" t="n">
        <v>63171.5081025488</v>
      </c>
      <c r="M21" s="29" t="n">
        <f aca="false">SUM(J21:L21)</f>
        <v>421140.566075193</v>
      </c>
      <c r="N21" s="67" t="n">
        <v>10000</v>
      </c>
      <c r="O21" s="33" t="n">
        <f aca="false">M21*B21</f>
        <v>2235582.58095356</v>
      </c>
      <c r="P21" s="33" t="n">
        <v>1503663.49999996</v>
      </c>
    </row>
    <row r="22" customFormat="false" ht="18.75" hidden="false" customHeight="true" outlineLevel="0" collapsed="false">
      <c r="A22" s="24" t="s">
        <v>104</v>
      </c>
      <c r="B22" s="64" t="n">
        <v>5.2177</v>
      </c>
      <c r="C22" s="65" t="n">
        <v>200609.929149516</v>
      </c>
      <c r="D22" s="65" t="n">
        <v>83548.7273240941</v>
      </c>
      <c r="E22" s="65" t="n">
        <v>50303.1569404065</v>
      </c>
      <c r="F22" s="25" t="n">
        <f aca="false">SUM(C22:E22)</f>
        <v>334461.813414016</v>
      </c>
      <c r="G22" s="65" t="n">
        <v>5000</v>
      </c>
      <c r="H22" s="32" t="n">
        <f aca="false">F22*B22</f>
        <v>1745121.40385031</v>
      </c>
      <c r="I22" s="32" t="n">
        <v>1165400.24999997</v>
      </c>
      <c r="J22" s="65" t="n">
        <v>248189.419601929</v>
      </c>
      <c r="K22" s="65" t="n">
        <v>103412.92522456</v>
      </c>
      <c r="L22" s="65" t="n">
        <v>62047.9469366685</v>
      </c>
      <c r="M22" s="25" t="n">
        <f aca="false">SUM(J22:L22)</f>
        <v>413650.291763157</v>
      </c>
      <c r="N22" s="65" t="n">
        <v>10000</v>
      </c>
      <c r="O22" s="32" t="n">
        <f aca="false">M22*B22</f>
        <v>2158303.12733263</v>
      </c>
      <c r="P22" s="32" t="n">
        <v>1555840.5000002</v>
      </c>
    </row>
    <row r="23" customFormat="false" ht="18.75" hidden="false" customHeight="true" outlineLevel="0" collapsed="false">
      <c r="A23" s="28" t="s">
        <v>105</v>
      </c>
      <c r="B23" s="66" t="n">
        <v>5.1236</v>
      </c>
      <c r="C23" s="67" t="n">
        <v>210921.196359304</v>
      </c>
      <c r="D23" s="67" t="n">
        <v>87834.6778610287</v>
      </c>
      <c r="E23" s="67" t="n">
        <v>52690.2039778528</v>
      </c>
      <c r="F23" s="29" t="n">
        <f aca="false">SUM(C23:E23)</f>
        <v>351446.078198185</v>
      </c>
      <c r="G23" s="67" t="n">
        <v>5000</v>
      </c>
      <c r="H23" s="33" t="n">
        <f aca="false">F23*B23</f>
        <v>1800669.12625622</v>
      </c>
      <c r="I23" s="33" t="n">
        <v>1191018.24999993</v>
      </c>
      <c r="J23" s="67" t="n">
        <v>263084.252900297</v>
      </c>
      <c r="K23" s="67" t="n">
        <v>109618.781941406</v>
      </c>
      <c r="L23" s="67" t="n">
        <v>65771.1327105916</v>
      </c>
      <c r="M23" s="29" t="n">
        <f aca="false">SUM(J23:L23)</f>
        <v>438474.167552295</v>
      </c>
      <c r="N23" s="67" t="n">
        <v>10000</v>
      </c>
      <c r="O23" s="33" t="n">
        <f aca="false">M23*B23</f>
        <v>2246566.24487094</v>
      </c>
      <c r="P23" s="33" t="n">
        <v>1607076.50000025</v>
      </c>
    </row>
    <row r="24" customFormat="false" ht="18.75" hidden="false" customHeight="true" outlineLevel="0" collapsed="false">
      <c r="A24" s="24" t="s">
        <v>106</v>
      </c>
      <c r="B24" s="64" t="n">
        <v>5.0295</v>
      </c>
      <c r="C24" s="65" t="n">
        <v>221762.458429877</v>
      </c>
      <c r="D24" s="65" t="n">
        <v>92091.8188073823</v>
      </c>
      <c r="E24" s="65" t="n">
        <v>55188.5375533514</v>
      </c>
      <c r="F24" s="25" t="n">
        <f aca="false">SUM(C24:E24)</f>
        <v>369042.81479061</v>
      </c>
      <c r="G24" s="65" t="n">
        <v>5000</v>
      </c>
      <c r="H24" s="32" t="n">
        <f aca="false">F24*B24</f>
        <v>1856100.83698937</v>
      </c>
      <c r="I24" s="32" t="n">
        <v>1216165.74999995</v>
      </c>
      <c r="J24" s="65" t="n">
        <v>278512.674456613</v>
      </c>
      <c r="K24" s="65" t="n">
        <v>116047.28045224</v>
      </c>
      <c r="L24" s="65" t="n">
        <v>69627.7149747053</v>
      </c>
      <c r="M24" s="25" t="n">
        <f aca="false">SUM(J24:L24)</f>
        <v>464187.669883558</v>
      </c>
      <c r="N24" s="65" t="n">
        <v>10000</v>
      </c>
      <c r="O24" s="32" t="n">
        <f aca="false">M24*B24</f>
        <v>2334631.88567935</v>
      </c>
      <c r="P24" s="32" t="n">
        <v>1657371.50000018</v>
      </c>
    </row>
    <row r="25" customFormat="false" ht="18.75" hidden="false" customHeight="true" outlineLevel="0" collapsed="false">
      <c r="A25" s="28" t="s">
        <v>107</v>
      </c>
      <c r="B25" s="66" t="n">
        <v>4.9354</v>
      </c>
      <c r="C25" s="67" t="n">
        <v>233160.956877407</v>
      </c>
      <c r="D25" s="67" t="n">
        <v>96423.8732866903</v>
      </c>
      <c r="E25" s="67" t="n">
        <v>57696.0824869063</v>
      </c>
      <c r="F25" s="29" t="n">
        <f aca="false">SUM(C25:E25)</f>
        <v>387280.912651004</v>
      </c>
      <c r="G25" s="67" t="n">
        <v>5000</v>
      </c>
      <c r="H25" s="33" t="n">
        <f aca="false">F25*B25</f>
        <v>1911386.21629776</v>
      </c>
      <c r="I25" s="33" t="n">
        <v>1240842.74999999</v>
      </c>
      <c r="J25" s="67" t="n">
        <v>294493.110486174</v>
      </c>
      <c r="K25" s="67" t="n">
        <v>122705.560470659</v>
      </c>
      <c r="L25" s="67" t="n">
        <v>73624.0009643433</v>
      </c>
      <c r="M25" s="29" t="n">
        <f aca="false">SUM(J25:L25)</f>
        <v>490822.671921177</v>
      </c>
      <c r="N25" s="67" t="n">
        <v>10000</v>
      </c>
      <c r="O25" s="33" t="n">
        <f aca="false">M25*B25</f>
        <v>2422406.21499978</v>
      </c>
      <c r="P25" s="33" t="n">
        <v>1706725.50000025</v>
      </c>
    </row>
    <row r="26" customFormat="false" ht="18.75" hidden="false" customHeight="true" outlineLevel="0" collapsed="false">
      <c r="A26" s="24" t="s">
        <v>108</v>
      </c>
      <c r="B26" s="64" t="n">
        <v>4.8413</v>
      </c>
      <c r="C26" s="65" t="n">
        <v>245145.333420708</v>
      </c>
      <c r="D26" s="65" t="n">
        <v>100831.561260387</v>
      </c>
      <c r="E26" s="65" t="n">
        <v>60212.9980988321</v>
      </c>
      <c r="F26" s="25" t="n">
        <f aca="false">SUM(C26:E26)</f>
        <v>406189.892779927</v>
      </c>
      <c r="G26" s="65" t="n">
        <v>5000</v>
      </c>
      <c r="H26" s="32" t="n">
        <f aca="false">F26*B26</f>
        <v>1966487.12791546</v>
      </c>
      <c r="I26" s="32" t="n">
        <v>1265049.24999989</v>
      </c>
      <c r="J26" s="65" t="n">
        <v>311046.934304109</v>
      </c>
      <c r="K26" s="65" t="n">
        <v>129602.83032695</v>
      </c>
      <c r="L26" s="65" t="n">
        <v>77762.4070052375</v>
      </c>
      <c r="M26" s="25" t="n">
        <f aca="false">SUM(J26:L26)</f>
        <v>518412.171636297</v>
      </c>
      <c r="N26" s="65" t="n">
        <v>10000</v>
      </c>
      <c r="O26" s="32" t="n">
        <f aca="false">M26*B26</f>
        <v>2509788.8465428</v>
      </c>
      <c r="P26" s="32" t="n">
        <v>1755138.49999996</v>
      </c>
    </row>
    <row r="27" customFormat="false" ht="18.75" hidden="false" customHeight="true" outlineLevel="0" collapsed="false">
      <c r="A27" s="28" t="s">
        <v>109</v>
      </c>
      <c r="B27" s="66" t="n">
        <v>4.83155</v>
      </c>
      <c r="C27" s="67" t="n">
        <v>256631.157211656</v>
      </c>
      <c r="D27" s="67" t="n">
        <v>104663.704168763</v>
      </c>
      <c r="E27" s="67" t="n">
        <v>62304.5139888616</v>
      </c>
      <c r="F27" s="29" t="n">
        <f aca="false">SUM(C27:E27)</f>
        <v>423599.375369281</v>
      </c>
      <c r="G27" s="67" t="n">
        <v>5000</v>
      </c>
      <c r="H27" s="33" t="n">
        <f aca="false">F27*B27</f>
        <v>2046641.56206545</v>
      </c>
      <c r="I27" s="33" t="n">
        <v>1289206.9999999</v>
      </c>
      <c r="J27" s="67" t="n">
        <v>326505.453727382</v>
      </c>
      <c r="K27" s="67" t="n">
        <v>136044.901327048</v>
      </c>
      <c r="L27" s="67" t="n">
        <v>81626.3585694537</v>
      </c>
      <c r="M27" s="29" t="n">
        <f aca="false">SUM(J27:L27)</f>
        <v>544176.713623884</v>
      </c>
      <c r="N27" s="67" t="n">
        <v>10000</v>
      </c>
      <c r="O27" s="33" t="n">
        <f aca="false">M27*B27</f>
        <v>2629217.00070948</v>
      </c>
      <c r="P27" s="33" t="n">
        <v>1803453.99999998</v>
      </c>
    </row>
    <row r="28" customFormat="false" ht="18.75" hidden="false" customHeight="true" outlineLevel="0" collapsed="false">
      <c r="A28" s="24" t="s">
        <v>110</v>
      </c>
      <c r="B28" s="64" t="n">
        <v>4.8218</v>
      </c>
      <c r="C28" s="65" t="n">
        <v>268655.127686107</v>
      </c>
      <c r="D28" s="65" t="n">
        <v>108541.292131112</v>
      </c>
      <c r="E28" s="65" t="n">
        <v>64383.6531482332</v>
      </c>
      <c r="F28" s="25" t="n">
        <f aca="false">SUM(C28:E28)</f>
        <v>441580.072965452</v>
      </c>
      <c r="G28" s="65" t="n">
        <v>5000</v>
      </c>
      <c r="H28" s="32" t="n">
        <f aca="false">F28*B28</f>
        <v>2129210.79582482</v>
      </c>
      <c r="I28" s="32" t="n">
        <v>1313315.9999998</v>
      </c>
      <c r="J28" s="65" t="n">
        <v>342434.253020425</v>
      </c>
      <c r="K28" s="65" t="n">
        <v>142681.212175986</v>
      </c>
      <c r="L28" s="65" t="n">
        <v>85609.2578413571</v>
      </c>
      <c r="M28" s="25" t="n">
        <f aca="false">SUM(J28:L28)</f>
        <v>570724.723037768</v>
      </c>
      <c r="N28" s="65" t="n">
        <v>10000</v>
      </c>
      <c r="O28" s="32" t="n">
        <f aca="false">M28*B28</f>
        <v>2751920.46954351</v>
      </c>
      <c r="P28" s="32" t="n">
        <v>1851672.00000014</v>
      </c>
    </row>
    <row r="29" customFormat="false" ht="18.75" hidden="false" customHeight="true" outlineLevel="0" collapsed="false">
      <c r="A29" s="28" t="s">
        <v>111</v>
      </c>
      <c r="B29" s="66" t="n">
        <v>4.81205</v>
      </c>
      <c r="C29" s="67" t="n">
        <v>281242.458695347</v>
      </c>
      <c r="D29" s="67" t="n">
        <v>112465.460873347</v>
      </c>
      <c r="E29" s="67" t="n">
        <v>66449.2876193342</v>
      </c>
      <c r="F29" s="29" t="n">
        <f aca="false">SUM(C29:E29)</f>
        <v>460157.207188028</v>
      </c>
      <c r="G29" s="67" t="n">
        <v>5000</v>
      </c>
      <c r="H29" s="33" t="n">
        <f aca="false">F29*B29</f>
        <v>2214299.48884915</v>
      </c>
      <c r="I29" s="33" t="n">
        <v>1337376.24999984</v>
      </c>
      <c r="J29" s="67" t="n">
        <v>358847.366262537</v>
      </c>
      <c r="K29" s="67" t="n">
        <v>149520.342989278</v>
      </c>
      <c r="L29" s="67" t="n">
        <v>89712.3345693487</v>
      </c>
      <c r="M29" s="29" t="n">
        <f aca="false">SUM(J29:L29)</f>
        <v>598080.043821164</v>
      </c>
      <c r="N29" s="67" t="n">
        <v>10000</v>
      </c>
      <c r="O29" s="33" t="n">
        <f aca="false">M29*B29</f>
        <v>2877991.07486963</v>
      </c>
      <c r="P29" s="33" t="n">
        <v>1899792.49999983</v>
      </c>
    </row>
    <row r="30" customFormat="false" ht="18.75" hidden="false" customHeight="true" outlineLevel="0" collapsed="false">
      <c r="A30" s="24" t="s">
        <v>112</v>
      </c>
      <c r="B30" s="64" t="n">
        <v>4.8023</v>
      </c>
      <c r="C30" s="65" t="n">
        <v>294419.545438271</v>
      </c>
      <c r="D30" s="65" t="n">
        <v>116436.349513332</v>
      </c>
      <c r="E30" s="65" t="n">
        <v>68501.2777830905</v>
      </c>
      <c r="F30" s="25" t="n">
        <f aca="false">SUM(C30:E30)</f>
        <v>479357.172734693</v>
      </c>
      <c r="G30" s="65" t="n">
        <v>5000</v>
      </c>
      <c r="H30" s="32" t="n">
        <f aca="false">F30*B30</f>
        <v>2302016.95062382</v>
      </c>
      <c r="I30" s="32" t="n">
        <v>1361387.74999974</v>
      </c>
      <c r="J30" s="65" t="n">
        <v>375760.485073425</v>
      </c>
      <c r="K30" s="65" t="n">
        <v>156566.899507758</v>
      </c>
      <c r="L30" s="65" t="n">
        <v>93939.8312156607</v>
      </c>
      <c r="M30" s="25" t="n">
        <f aca="false">SUM(J30:L30)</f>
        <v>626267.215796843</v>
      </c>
      <c r="N30" s="65" t="n">
        <v>10000</v>
      </c>
      <c r="O30" s="32" t="n">
        <f aca="false">M30*B30</f>
        <v>3007523.05042118</v>
      </c>
      <c r="P30" s="32" t="n">
        <v>1947815.49999964</v>
      </c>
    </row>
    <row r="31" customFormat="false" ht="18.75" hidden="false" customHeight="true" outlineLevel="0" collapsed="false">
      <c r="A31" s="28" t="s">
        <v>113</v>
      </c>
      <c r="B31" s="66" t="n">
        <v>4.82785</v>
      </c>
      <c r="C31" s="67" t="n">
        <v>306857.780645617</v>
      </c>
      <c r="D31" s="67" t="n">
        <v>120234.813014504</v>
      </c>
      <c r="E31" s="67" t="n">
        <v>70478.7251403167</v>
      </c>
      <c r="F31" s="29" t="n">
        <f aca="false">SUM(C31:E31)</f>
        <v>497571.318800438</v>
      </c>
      <c r="G31" s="67" t="n">
        <v>5000</v>
      </c>
      <c r="H31" s="33" t="n">
        <f aca="false">F31*B31</f>
        <v>2402199.69147069</v>
      </c>
      <c r="I31" s="33" t="n">
        <v>1385526.99999975</v>
      </c>
      <c r="J31" s="67" t="n">
        <v>391915.101305212</v>
      </c>
      <c r="K31" s="67" t="n">
        <v>163297.744161304</v>
      </c>
      <c r="L31" s="67" t="n">
        <v>97979.1412010934</v>
      </c>
      <c r="M31" s="29" t="n">
        <f aca="false">SUM(J31:L31)</f>
        <v>653191.98666761</v>
      </c>
      <c r="N31" s="67" t="n">
        <v>10000</v>
      </c>
      <c r="O31" s="33" t="n">
        <f aca="false">M31*B31</f>
        <v>3153512.93283322</v>
      </c>
      <c r="P31" s="33" t="n">
        <v>1996093.99999965</v>
      </c>
    </row>
    <row r="32" customFormat="false" ht="18.75" hidden="false" customHeight="true" outlineLevel="0" collapsed="false">
      <c r="A32" s="24" t="s">
        <v>114</v>
      </c>
      <c r="B32" s="64" t="n">
        <v>4.8534</v>
      </c>
      <c r="C32" s="65" t="n">
        <v>319821.489441488</v>
      </c>
      <c r="D32" s="65" t="n">
        <v>124073.255419782</v>
      </c>
      <c r="E32" s="65" t="n">
        <v>72440.5465746084</v>
      </c>
      <c r="F32" s="25" t="n">
        <f aca="false">SUM(C32:E32)</f>
        <v>516335.291435878</v>
      </c>
      <c r="G32" s="65" t="n">
        <v>5000</v>
      </c>
      <c r="H32" s="32" t="n">
        <f aca="false">F32*B32</f>
        <v>2505981.70345489</v>
      </c>
      <c r="I32" s="32" t="n">
        <v>1409793.99999986</v>
      </c>
      <c r="J32" s="65" t="n">
        <v>408506.195719881</v>
      </c>
      <c r="K32" s="65" t="n">
        <v>170211.675286892</v>
      </c>
      <c r="L32" s="65" t="n">
        <v>102126.51413271</v>
      </c>
      <c r="M32" s="25" t="n">
        <f aca="false">SUM(J32:L32)</f>
        <v>680844.385139483</v>
      </c>
      <c r="N32" s="65" t="n">
        <v>10000</v>
      </c>
      <c r="O32" s="32" t="n">
        <f aca="false">M32*B32</f>
        <v>3304410.13883597</v>
      </c>
      <c r="P32" s="32" t="n">
        <v>2044627.99999987</v>
      </c>
    </row>
    <row r="33" customFormat="false" ht="18.75" hidden="false" customHeight="true" outlineLevel="0" collapsed="false">
      <c r="A33" s="28" t="s">
        <v>115</v>
      </c>
      <c r="B33" s="66" t="n">
        <v>4.87895</v>
      </c>
      <c r="C33" s="67" t="n">
        <v>333332.87131702</v>
      </c>
      <c r="D33" s="67" t="n">
        <v>127952.855432471</v>
      </c>
      <c r="E33" s="67" t="n">
        <v>74385.6838155091</v>
      </c>
      <c r="F33" s="29" t="n">
        <f aca="false">SUM(C33:E33)</f>
        <v>535671.410565</v>
      </c>
      <c r="G33" s="67" t="n">
        <v>5000</v>
      </c>
      <c r="H33" s="33" t="n">
        <f aca="false">F33*B33</f>
        <v>2613514.02857611</v>
      </c>
      <c r="I33" s="33" t="n">
        <v>1434188.74999978</v>
      </c>
      <c r="J33" s="67" t="n">
        <v>425764.208052107</v>
      </c>
      <c r="K33" s="67" t="n">
        <v>177202.511270075</v>
      </c>
      <c r="L33" s="67" t="n">
        <v>106277.352986849</v>
      </c>
      <c r="M33" s="29" t="n">
        <f aca="false">SUM(J33:L33)</f>
        <v>709244.07230903</v>
      </c>
      <c r="N33" s="67" t="n">
        <v>10000</v>
      </c>
      <c r="O33" s="33" t="n">
        <f aca="false">M33*B33</f>
        <v>3460366.36659214</v>
      </c>
      <c r="P33" s="33" t="n">
        <v>2093417.50000007</v>
      </c>
    </row>
    <row r="34" customFormat="false" ht="18.75" hidden="false" customHeight="true" outlineLevel="0" collapsed="false">
      <c r="A34" s="24" t="s">
        <v>116</v>
      </c>
      <c r="B34" s="64" t="n">
        <v>4.9045</v>
      </c>
      <c r="C34" s="65" t="n">
        <v>347415.063617159</v>
      </c>
      <c r="D34" s="65" t="n">
        <v>131873.797024608</v>
      </c>
      <c r="E34" s="65" t="n">
        <v>76314.074646178</v>
      </c>
      <c r="F34" s="25" t="n">
        <f aca="false">SUM(C34:E34)</f>
        <v>555602.935287945</v>
      </c>
      <c r="G34" s="65" t="n">
        <v>5000</v>
      </c>
      <c r="H34" s="32" t="n">
        <f aca="false">F34*B34</f>
        <v>2724954.59611973</v>
      </c>
      <c r="I34" s="32" t="n">
        <v>1458711.2499997</v>
      </c>
      <c r="J34" s="65" t="n">
        <v>443751.313340034</v>
      </c>
      <c r="K34" s="65" t="n">
        <v>184254.595870953</v>
      </c>
      <c r="L34" s="65" t="n">
        <v>110413.670688242</v>
      </c>
      <c r="M34" s="25" t="n">
        <f aca="false">SUM(J34:L34)</f>
        <v>738419.579899229</v>
      </c>
      <c r="N34" s="65" t="n">
        <v>10000</v>
      </c>
      <c r="O34" s="32" t="n">
        <f aca="false">M34*B34</f>
        <v>3621578.82961577</v>
      </c>
      <c r="P34" s="32" t="n">
        <v>2142462.49999975</v>
      </c>
    </row>
    <row r="35" customFormat="false" ht="18.75" hidden="false" customHeight="true" outlineLevel="0" collapsed="false">
      <c r="A35" s="28" t="s">
        <v>117</v>
      </c>
      <c r="B35" s="66" t="n">
        <v>5.0548</v>
      </c>
      <c r="C35" s="67" t="n">
        <v>360183.119562587</v>
      </c>
      <c r="D35" s="67" t="n">
        <v>135483.782222599</v>
      </c>
      <c r="E35" s="67" t="n">
        <v>78106.902944209</v>
      </c>
      <c r="F35" s="29" t="n">
        <f aca="false">SUM(C35:E35)</f>
        <v>573773.804729395</v>
      </c>
      <c r="G35" s="67" t="n">
        <v>5000</v>
      </c>
      <c r="H35" s="33" t="n">
        <f aca="false">F35*B35</f>
        <v>2900311.82814615</v>
      </c>
      <c r="I35" s="33" t="n">
        <v>1483985.2499998</v>
      </c>
      <c r="J35" s="67" t="n">
        <v>460059.879628415</v>
      </c>
      <c r="K35" s="67" t="n">
        <v>190873.608113564</v>
      </c>
      <c r="L35" s="67" t="n">
        <v>114346.097659943</v>
      </c>
      <c r="M35" s="29" t="n">
        <f aca="false">SUM(J35:L35)</f>
        <v>765279.585401922</v>
      </c>
      <c r="N35" s="67" t="n">
        <v>10000</v>
      </c>
      <c r="O35" s="33" t="n">
        <f aca="false">M35*B35</f>
        <v>3868335.24828963</v>
      </c>
      <c r="P35" s="33" t="n">
        <v>2193010.49999992</v>
      </c>
    </row>
    <row r="36" customFormat="false" ht="18.75" hidden="false" customHeight="true" outlineLevel="0" collapsed="false">
      <c r="A36" s="24" t="s">
        <v>118</v>
      </c>
      <c r="B36" s="64" t="n">
        <v>5.155</v>
      </c>
      <c r="C36" s="65" t="n">
        <v>368954.797561423</v>
      </c>
      <c r="D36" s="65" t="n">
        <v>135916.294226844</v>
      </c>
      <c r="E36" s="65" t="n">
        <v>77950.4541907184</v>
      </c>
      <c r="F36" s="25" t="n">
        <f aca="false">SUM(C36:E36)</f>
        <v>582821.545978985</v>
      </c>
      <c r="G36" s="65" t="n">
        <v>0</v>
      </c>
      <c r="H36" s="32" t="n">
        <f aca="false">F36*B36</f>
        <v>3004445.06952167</v>
      </c>
      <c r="I36" s="32" t="n">
        <v>1483985.2499998</v>
      </c>
      <c r="J36" s="65" t="n">
        <v>471263.894767116</v>
      </c>
      <c r="K36" s="65" t="n">
        <v>191482.943972426</v>
      </c>
      <c r="L36" s="65" t="n">
        <v>114117.061508577</v>
      </c>
      <c r="M36" s="25" t="n">
        <f aca="false">SUM(J36:L36)</f>
        <v>776863.900248119</v>
      </c>
      <c r="N36" s="65" t="n">
        <v>0</v>
      </c>
      <c r="O36" s="32" t="n">
        <f aca="false">M36*B36</f>
        <v>4004733.40577906</v>
      </c>
      <c r="P36" s="32" t="n">
        <v>2193010.49999992</v>
      </c>
    </row>
    <row r="38" customFormat="false" ht="24" hidden="false" customHeight="true" outlineLevel="0" collapsed="false">
      <c r="A38" s="68" t="s">
        <v>119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</row>
    <row r="39" customFormat="false" ht="19.5" hidden="false" customHeight="true" outlineLevel="0" collapsed="false">
      <c r="A39" s="69" t="s">
        <v>120</v>
      </c>
      <c r="B39" s="62" t="s">
        <v>26</v>
      </c>
      <c r="C39" s="62"/>
      <c r="D39" s="62"/>
      <c r="E39" s="62"/>
      <c r="F39" s="61" t="s">
        <v>27</v>
      </c>
      <c r="G39" s="61"/>
      <c r="H39" s="61"/>
      <c r="I39" s="61"/>
    </row>
    <row r="40" customFormat="false" ht="19.5" hidden="false" customHeight="true" outlineLevel="0" collapsed="false">
      <c r="A40" s="69"/>
      <c r="B40" s="70" t="s">
        <v>121</v>
      </c>
      <c r="C40" s="70" t="s">
        <v>122</v>
      </c>
      <c r="D40" s="70" t="s">
        <v>123</v>
      </c>
      <c r="E40" s="70" t="s">
        <v>124</v>
      </c>
      <c r="F40" s="71" t="s">
        <v>121</v>
      </c>
      <c r="G40" s="71" t="s">
        <v>122</v>
      </c>
      <c r="H40" s="71" t="s">
        <v>123</v>
      </c>
      <c r="I40" s="71" t="s">
        <v>124</v>
      </c>
    </row>
    <row r="41" customFormat="false" ht="19.5" hidden="false" customHeight="true" outlineLevel="0" collapsed="false">
      <c r="A41" s="24" t="s">
        <v>125</v>
      </c>
      <c r="B41" s="65" t="n">
        <f aca="false">F36</f>
        <v>582821.545978985</v>
      </c>
      <c r="C41" s="65" t="n">
        <f aca="false">B41/1.3006</f>
        <v>448117.442702587</v>
      </c>
      <c r="D41" s="65" t="n">
        <f aca="false">(B41-345000)/345000</f>
        <v>0.689337814431841</v>
      </c>
      <c r="E41" s="24" t="s">
        <v>126</v>
      </c>
      <c r="F41" s="65" t="n">
        <f aca="false">M36</f>
        <v>776863.900248119</v>
      </c>
      <c r="G41" s="65" t="n">
        <f aca="false">F41/1.3006</f>
        <v>597311.933144794</v>
      </c>
      <c r="H41" s="65" t="n">
        <f aca="false">(F41-490000)/490000</f>
        <v>0.585436531118611</v>
      </c>
      <c r="I41" s="24" t="s">
        <v>126</v>
      </c>
    </row>
    <row r="42" customFormat="false" ht="19.5" hidden="false" customHeight="true" outlineLevel="0" collapsed="false">
      <c r="A42" s="24" t="s">
        <v>127</v>
      </c>
      <c r="B42" s="72" t="n">
        <f aca="false">H36</f>
        <v>3004445.06952167</v>
      </c>
      <c r="C42" s="72" t="n">
        <f aca="false">B42/1.4782</f>
        <v>2032502.41477585</v>
      </c>
      <c r="D42" s="72" t="n">
        <f aca="false">(B42-1483985.25)/1483985.25</f>
        <v>1.02457879518794</v>
      </c>
      <c r="E42" s="24" t="s">
        <v>128</v>
      </c>
      <c r="F42" s="72" t="n">
        <f aca="false">O36</f>
        <v>4004733.40577906</v>
      </c>
      <c r="G42" s="72" t="n">
        <f aca="false">F42/1.4782</f>
        <v>2709195.91785892</v>
      </c>
      <c r="H42" s="72" t="n">
        <f aca="false">(F42-2193010.5)/2193010.5</f>
        <v>0.826135080419841</v>
      </c>
      <c r="I42" s="24" t="s">
        <v>128</v>
      </c>
    </row>
    <row r="43" customFormat="false" ht="19.5" hidden="false" customHeight="true" outlineLevel="0" collapsed="false">
      <c r="A43" s="24" t="s">
        <v>129</v>
      </c>
      <c r="B43" s="65" t="s">
        <v>130</v>
      </c>
      <c r="C43" s="65" t="s">
        <v>131</v>
      </c>
      <c r="D43" s="65"/>
      <c r="E43" s="24" t="s">
        <v>132</v>
      </c>
      <c r="F43" s="65" t="s">
        <v>133</v>
      </c>
      <c r="G43" s="65" t="s">
        <v>134</v>
      </c>
      <c r="H43" s="65"/>
      <c r="I43" s="24" t="s">
        <v>132</v>
      </c>
    </row>
    <row r="44" customFormat="false" ht="19.5" hidden="false" customHeight="true" outlineLevel="0" collapsed="false">
      <c r="A44" s="24" t="s">
        <v>135</v>
      </c>
      <c r="B44" s="72" t="n">
        <f aca="false">I36</f>
        <v>1483985.2499998</v>
      </c>
      <c r="C44" s="72" t="n">
        <f aca="false">B44/1.4782</f>
        <v>1003913.71262332</v>
      </c>
      <c r="D44" s="72"/>
      <c r="E44" s="24" t="s">
        <v>136</v>
      </c>
      <c r="F44" s="72" t="n">
        <f aca="false">P36</f>
        <v>2193010.49999992</v>
      </c>
      <c r="G44" s="72" t="n">
        <f aca="false">F44/1.4782</f>
        <v>1483568.19104311</v>
      </c>
      <c r="H44" s="72"/>
      <c r="I44" s="24" t="s">
        <v>136</v>
      </c>
    </row>
    <row r="45" customFormat="false" ht="19.5" hidden="false" customHeight="true" outlineLevel="0" collapsed="false">
      <c r="A45" s="24" t="s">
        <v>137</v>
      </c>
      <c r="B45" s="72" t="n">
        <f aca="false">B42-B44</f>
        <v>1520459.81952187</v>
      </c>
      <c r="C45" s="72" t="n">
        <f aca="false">B45/1.4782</f>
        <v>1028588.70215253</v>
      </c>
      <c r="D45" s="72"/>
      <c r="E45" s="24" t="s">
        <v>138</v>
      </c>
      <c r="F45" s="72" t="n">
        <f aca="false">F42-F44</f>
        <v>1811722.90577914</v>
      </c>
      <c r="G45" s="72" t="n">
        <f aca="false">F45/1.4782</f>
        <v>1225627.72681581</v>
      </c>
      <c r="H45" s="72"/>
      <c r="I45" s="24" t="s">
        <v>138</v>
      </c>
    </row>
    <row r="46" customFormat="false" ht="19.5" hidden="false" customHeight="true" outlineLevel="0" collapsed="false">
      <c r="A46" s="24" t="s">
        <v>139</v>
      </c>
      <c r="B46" s="26" t="n">
        <f aca="false">B45*0.15</f>
        <v>228068.972928281</v>
      </c>
      <c r="C46" s="26" t="n">
        <f aca="false">B46/1.4782</f>
        <v>154288.30532288</v>
      </c>
      <c r="D46" s="26"/>
      <c r="E46" s="24" t="s">
        <v>140</v>
      </c>
      <c r="F46" s="26" t="n">
        <f aca="false">F45*0.15</f>
        <v>271758.435866871</v>
      </c>
      <c r="G46" s="26" t="n">
        <f aca="false">F46/1.4782</f>
        <v>183844.159022372</v>
      </c>
      <c r="H46" s="26"/>
      <c r="I46" s="24" t="s">
        <v>140</v>
      </c>
    </row>
    <row r="47" customFormat="false" ht="19.5" hidden="false" customHeight="true" outlineLevel="0" collapsed="false">
      <c r="A47" s="34" t="s">
        <v>141</v>
      </c>
      <c r="B47" s="73" t="n">
        <f aca="false">B42-B46</f>
        <v>2776376.09659339</v>
      </c>
      <c r="C47" s="73" t="n">
        <f aca="false">B47/1.4782</f>
        <v>1878214.10945297</v>
      </c>
      <c r="D47" s="73"/>
      <c r="E47" s="34" t="s">
        <v>142</v>
      </c>
      <c r="F47" s="74" t="n">
        <f aca="false">F42-F46</f>
        <v>3732974.96991218</v>
      </c>
      <c r="G47" s="74" t="n">
        <f aca="false">F47/1.4782</f>
        <v>2525351.75883655</v>
      </c>
      <c r="H47" s="74"/>
      <c r="I47" s="75" t="s">
        <v>142</v>
      </c>
    </row>
    <row r="48" customFormat="false" ht="19.5" hidden="false" customHeight="true" outlineLevel="0" collapsed="false">
      <c r="A48" s="34" t="s">
        <v>143</v>
      </c>
      <c r="B48" s="76" t="n">
        <f aca="false">B47/5.155</f>
        <v>538579.262190764</v>
      </c>
      <c r="C48" s="76" t="n">
        <f aca="false">B48/1.3006</f>
        <v>414100.616785148</v>
      </c>
      <c r="D48" s="76"/>
      <c r="E48" s="34" t="s">
        <v>144</v>
      </c>
      <c r="F48" s="77" t="n">
        <f aca="false">F47/5.155</f>
        <v>724146.45391119</v>
      </c>
      <c r="G48" s="77" t="n">
        <f aca="false">F48/1.3006</f>
        <v>556778.758966008</v>
      </c>
      <c r="H48" s="77"/>
      <c r="I48" s="75" t="s">
        <v>144</v>
      </c>
    </row>
    <row r="49" customFormat="false" ht="19.5" hidden="false" customHeight="true" outlineLevel="0" collapsed="false">
      <c r="A49" s="34" t="s">
        <v>145</v>
      </c>
      <c r="B49" s="35" t="n">
        <f aca="false">(B48-345000)/345000</f>
        <v>0.561099310697866</v>
      </c>
      <c r="C49" s="35" t="n">
        <f aca="false">(C48-283733.22)/283733.22</f>
        <v>0.459471741747929</v>
      </c>
      <c r="D49" s="35"/>
      <c r="E49" s="34" t="s">
        <v>146</v>
      </c>
      <c r="F49" s="78" t="n">
        <f aca="false">(F48-490000)/490000</f>
        <v>0.477849905941204</v>
      </c>
      <c r="G49" s="78" t="n">
        <f aca="false">(G48-393245.5)/393245.5</f>
        <v>0.415855385417018</v>
      </c>
      <c r="H49" s="78"/>
      <c r="I49" s="75" t="s">
        <v>146</v>
      </c>
    </row>
    <row r="50" customFormat="false" ht="19.5" hidden="false" customHeight="true" outlineLevel="0" collapsed="false">
      <c r="A50" s="34" t="s">
        <v>147</v>
      </c>
      <c r="B50" s="35" t="n">
        <f aca="false">(B47-1483985.25)/1483985.25</f>
        <v>0.870891975909725</v>
      </c>
      <c r="C50" s="35" t="n">
        <f aca="false">(C47-1003913.71)/1003913.71</f>
        <v>0.870891980798803</v>
      </c>
      <c r="D50" s="35"/>
      <c r="E50" s="34" t="s">
        <v>148</v>
      </c>
      <c r="F50" s="78" t="n">
        <f aca="false">(F47-2193010.5)/2193010.5</f>
        <v>0.702214818356859</v>
      </c>
      <c r="G50" s="78" t="n">
        <f aca="false">(G47-1483568.19)/1483568.19</f>
        <v>0.702214819553759</v>
      </c>
      <c r="H50" s="78"/>
      <c r="I50" s="75" t="s">
        <v>148</v>
      </c>
    </row>
  </sheetData>
  <mergeCells count="6">
    <mergeCell ref="C4:I4"/>
    <mergeCell ref="J4:P4"/>
    <mergeCell ref="A38:P38"/>
    <mergeCell ref="A39:A40"/>
    <mergeCell ref="B39:E39"/>
    <mergeCell ref="F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3"/>
    <col collapsed="false" customWidth="true" hidden="false" outlineLevel="0" max="2" min="2" style="0" width="93"/>
    <col collapsed="false" customWidth="true" hidden="false" outlineLevel="0" max="3" min="3" style="0" width="108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6" min="6" style="0" width="114"/>
  </cols>
  <sheetData>
    <row r="1" customFormat="false" ht="15" hidden="false" customHeight="false" outlineLevel="0" collapsed="false">
      <c r="A1" s="79" t="s">
        <v>149</v>
      </c>
    </row>
    <row r="2" customFormat="false" ht="15" hidden="false" customHeight="false" outlineLevel="0" collapsed="false">
      <c r="A2" s="80" t="s">
        <v>150</v>
      </c>
    </row>
    <row r="4" customFormat="false" ht="19.5" hidden="false" customHeight="true" outlineLevel="0" collapsed="false">
      <c r="A4" s="81" t="s">
        <v>151</v>
      </c>
    </row>
    <row r="5" customFormat="false" ht="25.5" hidden="false" customHeight="true" outlineLevel="0" collapsed="false">
      <c r="A5" s="82" t="s">
        <v>152</v>
      </c>
      <c r="B5" s="82" t="s">
        <v>4</v>
      </c>
      <c r="C5" s="82" t="s">
        <v>153</v>
      </c>
      <c r="D5" s="82" t="s">
        <v>154</v>
      </c>
      <c r="E5" s="82" t="s">
        <v>155</v>
      </c>
      <c r="F5" s="82" t="s">
        <v>156</v>
      </c>
    </row>
    <row r="6" customFormat="false" ht="19.5" hidden="false" customHeight="true" outlineLevel="0" collapsed="false">
      <c r="A6" s="83" t="s">
        <v>157</v>
      </c>
      <c r="B6" s="84" t="n">
        <f aca="false">'Cenário 1 - Buy &amp; Hold'!B17</f>
        <v>409449.442122244</v>
      </c>
      <c r="C6" s="84" t="n">
        <f aca="false">'Cenário 2 - Rebalanceamento'!B23</f>
        <v>396094.715790488</v>
      </c>
      <c r="D6" s="84" t="n">
        <f aca="false">C6-B6</f>
        <v>-13354.7263317552</v>
      </c>
      <c r="E6" s="85" t="n">
        <f aca="false">D6/B6</f>
        <v>-0.0326163012032339</v>
      </c>
      <c r="F6" s="86" t="s">
        <v>158</v>
      </c>
    </row>
    <row r="7" customFormat="false" ht="19.5" hidden="false" customHeight="true" outlineLevel="0" collapsed="false">
      <c r="A7" s="87" t="s">
        <v>159</v>
      </c>
      <c r="B7" s="88" t="n">
        <f aca="false">'Cenário 1 - Buy &amp; Hold'!E17</f>
        <v>2110711.87414017</v>
      </c>
      <c r="C7" s="88" t="n">
        <f aca="false">'Cenário 2 - Rebalanceamento'!E23</f>
        <v>2041868.25989997</v>
      </c>
      <c r="D7" s="88" t="n">
        <f aca="false">C7-B7</f>
        <v>-68843.6142401982</v>
      </c>
      <c r="E7" s="89" t="n">
        <f aca="false">D7/B7</f>
        <v>-0.032616301203234</v>
      </c>
      <c r="F7" s="90" t="s">
        <v>160</v>
      </c>
    </row>
    <row r="8" customFormat="false" ht="19.5" hidden="false" customHeight="true" outlineLevel="0" collapsed="false">
      <c r="A8" s="83" t="s">
        <v>161</v>
      </c>
      <c r="B8" s="91" t="n">
        <f aca="false">'Cenário 1 - Buy &amp; Hold'!E18</f>
        <v>774960</v>
      </c>
      <c r="C8" s="91" t="n">
        <f aca="false">'Cenário 2 - Rebalanceamento'!B24</f>
        <v>859353.478482415</v>
      </c>
      <c r="D8" s="91" t="n">
        <f aca="false">C8-B8</f>
        <v>84393.4784824146</v>
      </c>
      <c r="E8" s="85" t="n">
        <f aca="false">D8/B8</f>
        <v>0.108900431612489</v>
      </c>
      <c r="F8" s="86" t="s">
        <v>162</v>
      </c>
    </row>
    <row r="9" customFormat="false" ht="19.5" hidden="false" customHeight="true" outlineLevel="0" collapsed="false">
      <c r="A9" s="87" t="s">
        <v>163</v>
      </c>
      <c r="B9" s="88" t="s">
        <v>164</v>
      </c>
      <c r="C9" s="88" t="n">
        <f aca="false">'Cenário 2 - Rebalanceamento'!E20</f>
        <v>12659.0249197642</v>
      </c>
      <c r="D9" s="88" t="n">
        <f aca="false">C9-B9</f>
        <v>12659.0249197642</v>
      </c>
      <c r="E9" s="89" t="e">
        <f aca="false">D9/B9</f>
        <v>#DIV/0!</v>
      </c>
      <c r="F9" s="90" t="s">
        <v>165</v>
      </c>
    </row>
    <row r="10" customFormat="false" ht="19.5" hidden="false" customHeight="true" outlineLevel="0" collapsed="false">
      <c r="A10" s="83" t="s">
        <v>166</v>
      </c>
      <c r="B10" s="91" t="n">
        <f aca="false">'Cenário 1 - Buy &amp; Hold'!B20</f>
        <v>200362.781121025</v>
      </c>
      <c r="C10" s="91" t="n">
        <f aca="false">'Cenário 2 - Rebalanceamento'!B26</f>
        <v>177377.217212633</v>
      </c>
      <c r="D10" s="91" t="n">
        <f aca="false">C10-B10</f>
        <v>-22985.5639083919</v>
      </c>
      <c r="E10" s="85" t="n">
        <f aca="false">D10/B10</f>
        <v>-0.114719728782902</v>
      </c>
      <c r="F10" s="86" t="s">
        <v>167</v>
      </c>
    </row>
    <row r="11" customFormat="false" ht="19.5" hidden="false" customHeight="true" outlineLevel="0" collapsed="false">
      <c r="A11" s="87" t="s">
        <v>21</v>
      </c>
      <c r="B11" s="88" t="n">
        <f aca="false">'Cenário 1 - Buy &amp; Hold'!B20</f>
        <v>200362.781121025</v>
      </c>
      <c r="C11" s="88" t="n">
        <f aca="false">'Cenário 2 - Rebalanceamento'!E26</f>
        <v>190036.242132397</v>
      </c>
      <c r="D11" s="88" t="n">
        <f aca="false">C11-B11</f>
        <v>-10326.5389886277</v>
      </c>
      <c r="E11" s="89" t="n">
        <f aca="false">D11/B11</f>
        <v>-0.0515392076854343</v>
      </c>
      <c r="F11" s="90" t="s">
        <v>168</v>
      </c>
    </row>
    <row r="12" customFormat="false" ht="19.5" hidden="false" customHeight="true" outlineLevel="0" collapsed="false">
      <c r="A12" s="92" t="s">
        <v>169</v>
      </c>
      <c r="B12" s="93" t="n">
        <f aca="false">'Cenário 1 - Buy &amp; Hold'!E17-'Cenário 1 - Buy &amp; Hold'!B20</f>
        <v>1910349.09301914</v>
      </c>
      <c r="C12" s="93" t="n">
        <f aca="false">'Cenário 2 - Rebalanceamento'!E23-'Cenário 2 - Rebalanceamento'!E26</f>
        <v>1851832.01776757</v>
      </c>
      <c r="D12" s="93" t="n">
        <f aca="false">C12-B12</f>
        <v>-58517.0752515704</v>
      </c>
      <c r="E12" s="94" t="n">
        <f aca="false">D12/B12</f>
        <v>-0.0306316135963869</v>
      </c>
      <c r="F12" s="86" t="s">
        <v>170</v>
      </c>
    </row>
    <row r="13" customFormat="false" ht="19.5" hidden="false" customHeight="true" outlineLevel="0" collapsed="false">
      <c r="A13" s="95" t="s">
        <v>171</v>
      </c>
      <c r="B13" s="96" t="n">
        <f aca="false">('Cenário 1 - Buy &amp; Hold'!E17-'Cenário 1 - Buy &amp; Hold'!B20)/'Cenário 1 - Buy &amp; Hold'!B14</f>
        <v>370581.783320881</v>
      </c>
      <c r="C13" s="96" t="n">
        <f aca="false">('Cenário 2 - Rebalanceamento'!E23-'Cenário 2 - Rebalanceamento'!E26)/'Cenário 2 - Rebalanceamento'!B15</f>
        <v>359230.265328336</v>
      </c>
      <c r="D13" s="96" t="n">
        <f aca="false">C13-B13</f>
        <v>-11351.5179925452</v>
      </c>
      <c r="E13" s="97" t="n">
        <f aca="false">D13/B13</f>
        <v>-0.0306316135963869</v>
      </c>
      <c r="F13" s="90" t="s">
        <v>172</v>
      </c>
    </row>
    <row r="14" customFormat="false" ht="19.5" hidden="false" customHeight="true" outlineLevel="0" collapsed="false">
      <c r="A14" s="92" t="s">
        <v>173</v>
      </c>
      <c r="B14" s="94" t="n">
        <f aca="false">(B13-200000)/200000</f>
        <v>0.852908916604405</v>
      </c>
      <c r="C14" s="94" t="n">
        <f aca="false">(C13-200000)/200000</f>
        <v>0.796151326641679</v>
      </c>
      <c r="D14" s="94" t="n">
        <f aca="false">C14-B14</f>
        <v>-0.0567575899627261</v>
      </c>
      <c r="E14" s="94" t="n">
        <f aca="false">C14-B14</f>
        <v>-0.0567575899627261</v>
      </c>
      <c r="F14" s="86" t="s">
        <v>174</v>
      </c>
    </row>
    <row r="15" customFormat="false" ht="19.5" hidden="false" customHeight="true" outlineLevel="0" collapsed="false">
      <c r="A15" s="95" t="s">
        <v>175</v>
      </c>
      <c r="B15" s="97" t="n">
        <f aca="false">(B12-774960)/774960</f>
        <v>1.46509380228546</v>
      </c>
      <c r="C15" s="97" t="n">
        <f aca="false">(C12-774960)/774960</f>
        <v>1.38958400145501</v>
      </c>
      <c r="D15" s="97" t="n">
        <f aca="false">C15-B15</f>
        <v>-0.0755098008304562</v>
      </c>
      <c r="E15" s="97" t="n">
        <f aca="false">C15-B15</f>
        <v>-0.0755098008304562</v>
      </c>
      <c r="F15" s="90" t="s">
        <v>176</v>
      </c>
    </row>
    <row r="16" customFormat="false" ht="19.5" hidden="false" customHeight="true" outlineLevel="0" collapsed="false">
      <c r="A16" s="92" t="s">
        <v>177</v>
      </c>
      <c r="B16" s="98" t="n">
        <f aca="false">'Cenário 1 - Buy &amp; Hold'!B23</f>
        <v>314799.015436892</v>
      </c>
      <c r="C16" s="98" t="n">
        <f aca="false">'Cenário 2 - Rebalanceamento'!B29</f>
        <v>304531.435930921</v>
      </c>
      <c r="D16" s="98" t="n">
        <f aca="false">C16-B16</f>
        <v>-10267.5795059711</v>
      </c>
      <c r="E16" s="99" t="n">
        <f aca="false">D16/B16</f>
        <v>-0.0326163012032338</v>
      </c>
      <c r="F16" s="86" t="s">
        <v>178</v>
      </c>
    </row>
    <row r="17" customFormat="false" ht="19.5" hidden="false" customHeight="true" outlineLevel="0" collapsed="false">
      <c r="A17" s="95" t="s">
        <v>179</v>
      </c>
      <c r="B17" s="100" t="n">
        <f aca="false">'Cenário 1 - Buy &amp; Hold'!E23</f>
        <v>1427955.30586966</v>
      </c>
      <c r="C17" s="100" t="n">
        <f aca="false">'Cenário 2 - Rebalanceamento'!E29</f>
        <v>1381380.68550866</v>
      </c>
      <c r="D17" s="100" t="n">
        <f aca="false">C17-B17</f>
        <v>-46574.620361001</v>
      </c>
      <c r="E17" s="99" t="n">
        <f aca="false">D17/B17</f>
        <v>-0.032616301203234</v>
      </c>
      <c r="F17" s="90" t="s">
        <v>180</v>
      </c>
    </row>
    <row r="18" customFormat="false" ht="19.5" hidden="false" customHeight="true" outlineLevel="0" collapsed="false">
      <c r="A18" s="83" t="s">
        <v>23</v>
      </c>
      <c r="B18" s="91" t="n">
        <f aca="false">'Cenário 1 - Buy &amp; Hold'!B26</f>
        <v>135550.995806626</v>
      </c>
      <c r="C18" s="91" t="n">
        <f aca="false">'Cenário 2 - Rebalanceamento'!B32</f>
        <v>130550.45083482</v>
      </c>
      <c r="D18" s="91" t="n">
        <f aca="false">C18-B18</f>
        <v>-5000.54497180572</v>
      </c>
      <c r="E18" s="85" t="n">
        <f aca="false">D18/B18</f>
        <v>-0.036890507089593</v>
      </c>
      <c r="F18" s="86" t="s">
        <v>181</v>
      </c>
    </row>
    <row r="19" customFormat="false" ht="19.5" hidden="false" customHeight="true" outlineLevel="0" collapsed="false">
      <c r="A19" s="87" t="s">
        <v>182</v>
      </c>
      <c r="B19" s="101" t="n">
        <f aca="false">'Cenário 1 - Buy &amp; Hold'!E26</f>
        <v>29882.812050219</v>
      </c>
      <c r="C19" s="101" t="n">
        <f aca="false">'Cenário 2 - Rebalanceamento'!E32</f>
        <v>28554.2004186582</v>
      </c>
      <c r="D19" s="101" t="n">
        <f aca="false">C19-B19</f>
        <v>-1328.61163156079</v>
      </c>
      <c r="E19" s="89" t="n">
        <f aca="false">D19/B19</f>
        <v>-0.04446072977764</v>
      </c>
      <c r="F19" s="90" t="s">
        <v>183</v>
      </c>
    </row>
    <row r="20" customFormat="false" ht="19.5" hidden="false" customHeight="true" outlineLevel="0" collapsed="false">
      <c r="A20" s="92" t="s">
        <v>184</v>
      </c>
      <c r="B20" s="100" t="n">
        <f aca="false">'Cenário 1 - Buy &amp; Hold'!B27</f>
        <v>1292404.31006304</v>
      </c>
      <c r="C20" s="100" t="n">
        <f aca="false">'Cenário 2 - Rebalanceamento'!B33</f>
        <v>1250830.23467384</v>
      </c>
      <c r="D20" s="100" t="n">
        <f aca="false">C20-B20</f>
        <v>-41574.0753891952</v>
      </c>
      <c r="E20" s="99" t="n">
        <f aca="false">D20/B20</f>
        <v>-0.0321680104789867</v>
      </c>
      <c r="F20" s="86" t="s">
        <v>185</v>
      </c>
    </row>
    <row r="21" customFormat="false" ht="19.5" hidden="false" customHeight="true" outlineLevel="0" collapsed="false">
      <c r="A21" s="95" t="s">
        <v>186</v>
      </c>
      <c r="B21" s="98" t="n">
        <f aca="false">'Cenário 1 - Buy &amp; Hold'!E27</f>
        <v>284916.203386673</v>
      </c>
      <c r="C21" s="98" t="n">
        <f aca="false">'Cenário 2 - Rebalanceamento'!E33</f>
        <v>275977.235512263</v>
      </c>
      <c r="D21" s="98" t="n">
        <f aca="false">C21-B21</f>
        <v>-8938.96787441033</v>
      </c>
      <c r="E21" s="99" t="n">
        <f aca="false">D21/B21</f>
        <v>-0.0313740242504876</v>
      </c>
      <c r="F21" s="90" t="s">
        <v>187</v>
      </c>
    </row>
    <row r="22" customFormat="false" ht="19.5" hidden="false" customHeight="true" outlineLevel="0" collapsed="false">
      <c r="A22" s="92" t="s">
        <v>17</v>
      </c>
      <c r="B22" s="99" t="n">
        <f aca="false">(B21-200000)/200000</f>
        <v>0.424581016933365</v>
      </c>
      <c r="C22" s="99" t="n">
        <f aca="false">(C21-200000)/200000</f>
        <v>0.379886177561314</v>
      </c>
      <c r="D22" s="99" t="n">
        <f aca="false">C22-B22</f>
        <v>-0.0446948393720517</v>
      </c>
      <c r="E22" s="99" t="n">
        <f aca="false">C22-B22</f>
        <v>-0.0446948393720517</v>
      </c>
      <c r="F22" s="86" t="s">
        <v>188</v>
      </c>
    </row>
    <row r="23" customFormat="false" ht="19.5" hidden="false" customHeight="true" outlineLevel="0" collapsed="false">
      <c r="A23" s="95" t="s">
        <v>19</v>
      </c>
      <c r="B23" s="99" t="n">
        <f aca="false">(B20-774960)/774960</f>
        <v>0.66770453967048</v>
      </c>
      <c r="C23" s="99" t="n">
        <f aca="false">(C20-774960)/774960</f>
        <v>0.614057802562506</v>
      </c>
      <c r="D23" s="99" t="n">
        <f aca="false">C23-B23</f>
        <v>-0.0536467371079735</v>
      </c>
      <c r="E23" s="99" t="n">
        <f aca="false">C23-B23</f>
        <v>-0.0536467371079735</v>
      </c>
      <c r="F23" s="90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9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8" min="6" style="0" width="16"/>
    <col collapsed="false" customWidth="true" hidden="false" outlineLevel="0" max="9" min="9" style="0" width="21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21"/>
    <col collapsed="false" customWidth="true" hidden="false" outlineLevel="0" max="14" min="14" style="0" width="18"/>
    <col collapsed="false" customWidth="true" hidden="false" outlineLevel="0" max="15" min="15" style="0" width="16"/>
    <col collapsed="false" customWidth="true" hidden="false" outlineLevel="0" max="16" min="16" style="0" width="18"/>
  </cols>
  <sheetData>
    <row r="1" customFormat="false" ht="15" hidden="false" customHeight="false" outlineLevel="0" collapsed="false">
      <c r="A1" s="79" t="s">
        <v>190</v>
      </c>
    </row>
    <row r="2" customFormat="false" ht="15" hidden="false" customHeight="false" outlineLevel="0" collapsed="false">
      <c r="A2" s="80" t="s">
        <v>191</v>
      </c>
    </row>
    <row r="4" customFormat="false" ht="19.5" hidden="false" customHeight="true" outlineLevel="0" collapsed="false">
      <c r="A4" s="81" t="s">
        <v>192</v>
      </c>
    </row>
    <row r="5" customFormat="false" ht="30" hidden="false" customHeight="true" outlineLevel="0" collapsed="false">
      <c r="A5" s="102" t="s">
        <v>79</v>
      </c>
      <c r="B5" s="102" t="s">
        <v>193</v>
      </c>
      <c r="C5" s="102" t="s">
        <v>194</v>
      </c>
      <c r="D5" s="102" t="s">
        <v>195</v>
      </c>
      <c r="E5" s="102" t="s">
        <v>196</v>
      </c>
      <c r="F5" s="102" t="s">
        <v>81</v>
      </c>
      <c r="G5" s="102" t="s">
        <v>82</v>
      </c>
      <c r="H5" s="102" t="s">
        <v>83</v>
      </c>
      <c r="I5" s="102" t="s">
        <v>197</v>
      </c>
      <c r="J5" s="102" t="s">
        <v>198</v>
      </c>
      <c r="K5" s="102" t="s">
        <v>199</v>
      </c>
      <c r="L5" s="102" t="s">
        <v>200</v>
      </c>
      <c r="M5" s="102" t="s">
        <v>201</v>
      </c>
      <c r="N5" s="102" t="s">
        <v>202</v>
      </c>
      <c r="O5" s="102" t="s">
        <v>203</v>
      </c>
      <c r="P5" s="102" t="s">
        <v>204</v>
      </c>
    </row>
    <row r="6" customFormat="false" ht="19.5" hidden="false" customHeight="true" outlineLevel="0" collapsed="false">
      <c r="A6" s="83" t="s">
        <v>88</v>
      </c>
      <c r="B6" s="103" t="n">
        <v>3.8748</v>
      </c>
      <c r="C6" s="104"/>
      <c r="D6" s="104"/>
      <c r="E6" s="104"/>
      <c r="F6" s="105" t="n">
        <v>120000</v>
      </c>
      <c r="G6" s="105" t="n">
        <v>50000</v>
      </c>
      <c r="H6" s="105" t="n">
        <v>30000</v>
      </c>
      <c r="I6" s="106" t="n">
        <f aca="false">F6+G6+H6</f>
        <v>200000</v>
      </c>
      <c r="J6" s="85" t="n">
        <v>0</v>
      </c>
      <c r="K6" s="103" t="n">
        <v>1</v>
      </c>
      <c r="L6" s="98" t="n">
        <f aca="false">I6/K6</f>
        <v>200000</v>
      </c>
      <c r="M6" s="93" t="n">
        <f aca="false">I6*B6</f>
        <v>774960</v>
      </c>
      <c r="N6" s="85" t="n">
        <v>0</v>
      </c>
      <c r="O6" s="103" t="n">
        <v>1</v>
      </c>
      <c r="P6" s="100" t="n">
        <f aca="false">M6/O6</f>
        <v>774960</v>
      </c>
    </row>
    <row r="7" customFormat="false" ht="19.5" hidden="false" customHeight="true" outlineLevel="0" collapsed="false">
      <c r="A7" s="87" t="s">
        <v>205</v>
      </c>
      <c r="B7" s="107" t="n">
        <v>4.0307</v>
      </c>
      <c r="C7" s="108" t="n">
        <v>0.266</v>
      </c>
      <c r="D7" s="108" t="n">
        <v>0.084</v>
      </c>
      <c r="E7" s="108" t="n">
        <v>0.082</v>
      </c>
      <c r="F7" s="101" t="n">
        <f aca="false">F6*(1+C7)</f>
        <v>151920</v>
      </c>
      <c r="G7" s="101" t="n">
        <f aca="false">G6*(1+D7)</f>
        <v>54200</v>
      </c>
      <c r="H7" s="101" t="n">
        <f aca="false">H6*(1+E7)</f>
        <v>32460</v>
      </c>
      <c r="I7" s="96" t="n">
        <f aca="false">F7+G7+H7</f>
        <v>238580</v>
      </c>
      <c r="J7" s="89" t="n">
        <v>0.0181</v>
      </c>
      <c r="K7" s="107" t="n">
        <f aca="false">K6*(1+J7)</f>
        <v>1.0181</v>
      </c>
      <c r="L7" s="98" t="n">
        <f aca="false">I7/K7</f>
        <v>234338.473627345</v>
      </c>
      <c r="M7" s="109" t="n">
        <f aca="false">I7*B7</f>
        <v>961644.406</v>
      </c>
      <c r="N7" s="89" t="n">
        <v>0.0431</v>
      </c>
      <c r="O7" s="107" t="n">
        <f aca="false">O6*(1+N7)</f>
        <v>1.0431</v>
      </c>
      <c r="P7" s="100" t="n">
        <f aca="false">M7/O7</f>
        <v>921910.081487873</v>
      </c>
    </row>
    <row r="8" customFormat="false" ht="19.5" hidden="false" customHeight="true" outlineLevel="0" collapsed="false">
      <c r="A8" s="83" t="s">
        <v>206</v>
      </c>
      <c r="B8" s="103" t="n">
        <v>5.1967</v>
      </c>
      <c r="C8" s="110" t="n">
        <v>0.162</v>
      </c>
      <c r="D8" s="110" t="n">
        <v>0.11</v>
      </c>
      <c r="E8" s="110" t="n">
        <v>0.056</v>
      </c>
      <c r="F8" s="84" t="n">
        <f aca="false">F7*(1+C8)</f>
        <v>176531.04</v>
      </c>
      <c r="G8" s="84" t="n">
        <f aca="false">G7*(1+D8)</f>
        <v>60162</v>
      </c>
      <c r="H8" s="84" t="n">
        <f aca="false">H7*(1+E8)</f>
        <v>34277.76</v>
      </c>
      <c r="I8" s="106" t="n">
        <f aca="false">F8+G8+H8</f>
        <v>270970.8</v>
      </c>
      <c r="J8" s="85" t="n">
        <v>0.0136</v>
      </c>
      <c r="K8" s="103" t="n">
        <f aca="false">K7*(1+J8)</f>
        <v>1.03194616</v>
      </c>
      <c r="L8" s="98" t="n">
        <f aca="false">I8/K8</f>
        <v>262582.303712434</v>
      </c>
      <c r="M8" s="93" t="n">
        <f aca="false">I8*B8</f>
        <v>1408153.95636</v>
      </c>
      <c r="N8" s="85" t="n">
        <v>0.0452</v>
      </c>
      <c r="O8" s="103" t="n">
        <f aca="false">O7*(1+N8)</f>
        <v>1.09024812</v>
      </c>
      <c r="P8" s="100" t="n">
        <f aca="false">M8/O8</f>
        <v>1291590.3550102</v>
      </c>
    </row>
    <row r="9" customFormat="false" ht="19.5" hidden="false" customHeight="true" outlineLevel="0" collapsed="false">
      <c r="A9" s="87" t="s">
        <v>207</v>
      </c>
      <c r="B9" s="107" t="n">
        <v>5.5805</v>
      </c>
      <c r="C9" s="108" t="n">
        <v>0.185</v>
      </c>
      <c r="D9" s="108" t="n">
        <v>0.06</v>
      </c>
      <c r="E9" s="108" t="n">
        <v>-0.014</v>
      </c>
      <c r="F9" s="101" t="n">
        <f aca="false">F8*(1+C9)</f>
        <v>209189.2824</v>
      </c>
      <c r="G9" s="101" t="n">
        <f aca="false">G8*(1+D9)</f>
        <v>63771.72</v>
      </c>
      <c r="H9" s="101" t="n">
        <f aca="false">H8*(1+E9)</f>
        <v>33797.87136</v>
      </c>
      <c r="I9" s="96" t="n">
        <f aca="false">F9+G9+H9</f>
        <v>306758.87376</v>
      </c>
      <c r="J9" s="89" t="n">
        <v>0.047</v>
      </c>
      <c r="K9" s="107" t="n">
        <f aca="false">K8*(1+J9)</f>
        <v>1.08044762952</v>
      </c>
      <c r="L9" s="98" t="n">
        <f aca="false">I9/K9</f>
        <v>283918.318092179</v>
      </c>
      <c r="M9" s="109" t="n">
        <f aca="false">I9*B9</f>
        <v>1711867.89501768</v>
      </c>
      <c r="N9" s="89" t="n">
        <v>0.1006</v>
      </c>
      <c r="O9" s="107" t="n">
        <f aca="false">O8*(1+N9)</f>
        <v>1.199927080872</v>
      </c>
      <c r="P9" s="100" t="n">
        <f aca="false">M9/O9</f>
        <v>1426643.27050078</v>
      </c>
    </row>
    <row r="10" customFormat="false" ht="19.5" hidden="false" customHeight="true" outlineLevel="0" collapsed="false">
      <c r="A10" s="83" t="s">
        <v>208</v>
      </c>
      <c r="B10" s="103" t="n">
        <v>5.2177</v>
      </c>
      <c r="C10" s="110" t="n">
        <v>-0.1807</v>
      </c>
      <c r="D10" s="110" t="n">
        <v>-0.127</v>
      </c>
      <c r="E10" s="110" t="n">
        <v>-0.103</v>
      </c>
      <c r="F10" s="84" t="n">
        <f aca="false">F9*(1+C10)</f>
        <v>171388.77907032</v>
      </c>
      <c r="G10" s="84" t="n">
        <f aca="false">G9*(1+D10)</f>
        <v>55672.71156</v>
      </c>
      <c r="H10" s="84" t="n">
        <f aca="false">H9*(1+E10)</f>
        <v>30316.69060992</v>
      </c>
      <c r="I10" s="106" t="n">
        <f aca="false">F10+G10+H10</f>
        <v>257378.18124024</v>
      </c>
      <c r="J10" s="85" t="n">
        <v>0.08</v>
      </c>
      <c r="K10" s="103" t="n">
        <f aca="false">K9*(1+J10)</f>
        <v>1.1668834398816</v>
      </c>
      <c r="L10" s="98" t="n">
        <f aca="false">I10/K10</f>
        <v>220568.886697334</v>
      </c>
      <c r="M10" s="93" t="n">
        <f aca="false">I10*B10</f>
        <v>1342922.1362572</v>
      </c>
      <c r="N10" s="85" t="n">
        <v>0.0579</v>
      </c>
      <c r="O10" s="103" t="n">
        <f aca="false">O9*(1+N10)</f>
        <v>1.26940285885449</v>
      </c>
      <c r="P10" s="100" t="n">
        <f aca="false">M10/O10</f>
        <v>1057916.42652283</v>
      </c>
    </row>
    <row r="11" customFormat="false" ht="19.5" hidden="false" customHeight="true" outlineLevel="0" collapsed="false">
      <c r="A11" s="87" t="s">
        <v>209</v>
      </c>
      <c r="B11" s="107" t="n">
        <v>4.8413</v>
      </c>
      <c r="C11" s="108" t="n">
        <v>0.222</v>
      </c>
      <c r="D11" s="108" t="n">
        <v>0.039</v>
      </c>
      <c r="E11" s="108" t="n">
        <v>0.071</v>
      </c>
      <c r="F11" s="101" t="n">
        <f aca="false">F10*(1+C11)</f>
        <v>209437.088023931</v>
      </c>
      <c r="G11" s="101" t="n">
        <f aca="false">G10*(1+D11)</f>
        <v>57843.94731084</v>
      </c>
      <c r="H11" s="101" t="n">
        <f aca="false">H10*(1+E11)</f>
        <v>32469.1756432243</v>
      </c>
      <c r="I11" s="96" t="n">
        <f aca="false">F11+G11+H11</f>
        <v>299750.210977995</v>
      </c>
      <c r="J11" s="89" t="n">
        <v>0.0412</v>
      </c>
      <c r="K11" s="107" t="n">
        <f aca="false">K10*(1+J11)</f>
        <v>1.21495903760472</v>
      </c>
      <c r="L11" s="98" t="n">
        <f aca="false">I11/K11</f>
        <v>246716.310344873</v>
      </c>
      <c r="M11" s="109" t="n">
        <f aca="false">I11*B11</f>
        <v>1451180.69640777</v>
      </c>
      <c r="N11" s="89" t="n">
        <v>0.0462</v>
      </c>
      <c r="O11" s="107" t="n">
        <f aca="false">O10*(1+N11)</f>
        <v>1.32804927093357</v>
      </c>
      <c r="P11" s="100" t="n">
        <f aca="false">M11/O11</f>
        <v>1092716.00698041</v>
      </c>
    </row>
    <row r="12" customFormat="false" ht="19.5" hidden="false" customHeight="true" outlineLevel="0" collapsed="false">
      <c r="A12" s="83" t="s">
        <v>210</v>
      </c>
      <c r="B12" s="103" t="n">
        <v>4.8023</v>
      </c>
      <c r="C12" s="110" t="n">
        <v>0.201</v>
      </c>
      <c r="D12" s="110" t="n">
        <v>0.012</v>
      </c>
      <c r="E12" s="110" t="n">
        <v>0.042</v>
      </c>
      <c r="F12" s="84" t="n">
        <f aca="false">F11*(1+C12)</f>
        <v>251533.942716741</v>
      </c>
      <c r="G12" s="84" t="n">
        <f aca="false">G11*(1+D12)</f>
        <v>58538.0746785701</v>
      </c>
      <c r="H12" s="84" t="n">
        <f aca="false">H11*(1+E12)</f>
        <v>33832.8810202397</v>
      </c>
      <c r="I12" s="106" t="n">
        <f aca="false">F12+G12+H12</f>
        <v>343904.898415551</v>
      </c>
      <c r="J12" s="85" t="n">
        <v>0.029</v>
      </c>
      <c r="K12" s="103" t="n">
        <f aca="false">K11*(1+J12)</f>
        <v>1.25019284969526</v>
      </c>
      <c r="L12" s="98" t="n">
        <f aca="false">I12/K12</f>
        <v>275081.479228888</v>
      </c>
      <c r="M12" s="93" t="n">
        <f aca="false">I12*B12</f>
        <v>1651534.493661</v>
      </c>
      <c r="N12" s="85" t="n">
        <v>0.0442</v>
      </c>
      <c r="O12" s="103" t="n">
        <f aca="false">O11*(1+N12)</f>
        <v>1.38674904870883</v>
      </c>
      <c r="P12" s="100" t="n">
        <f aca="false">M12/O12</f>
        <v>1190939.69828118</v>
      </c>
    </row>
    <row r="13" customFormat="false" ht="19.5" hidden="false" customHeight="true" outlineLevel="0" collapsed="false">
      <c r="A13" s="87" t="s">
        <v>211</v>
      </c>
      <c r="B13" s="107" t="n">
        <v>4.9045</v>
      </c>
      <c r="C13" s="108" t="n">
        <v>0.18</v>
      </c>
      <c r="D13" s="108" t="n">
        <v>0.018</v>
      </c>
      <c r="E13" s="108" t="n">
        <v>0.015</v>
      </c>
      <c r="F13" s="101" t="n">
        <f aca="false">F12*(1+C13)</f>
        <v>296810.052405755</v>
      </c>
      <c r="G13" s="101" t="n">
        <f aca="false">G12*(1+D13)</f>
        <v>59591.7600227843</v>
      </c>
      <c r="H13" s="101" t="n">
        <f aca="false">H12*(1+E13)</f>
        <v>34340.3742355433</v>
      </c>
      <c r="I13" s="96" t="n">
        <f aca="false">F13+G13+H13</f>
        <v>390742.186664082</v>
      </c>
      <c r="J13" s="89" t="n">
        <v>0.025</v>
      </c>
      <c r="K13" s="107" t="n">
        <f aca="false">K12*(1+J13)</f>
        <v>1.28144767093764</v>
      </c>
      <c r="L13" s="98" t="n">
        <f aca="false">I13/K13</f>
        <v>304922.468178646</v>
      </c>
      <c r="M13" s="109" t="n">
        <f aca="false">I13*B13</f>
        <v>1916395.05449399</v>
      </c>
      <c r="N13" s="89" t="n">
        <v>0.045</v>
      </c>
      <c r="O13" s="107" t="n">
        <f aca="false">O12*(1+N13)</f>
        <v>1.44915275590073</v>
      </c>
      <c r="P13" s="100" t="n">
        <f aca="false">M13/O13</f>
        <v>1322424.4626322</v>
      </c>
    </row>
    <row r="14" customFormat="false" ht="19.5" hidden="false" customHeight="true" outlineLevel="0" collapsed="false">
      <c r="A14" s="83" t="s">
        <v>212</v>
      </c>
      <c r="B14" s="103" t="n">
        <v>5.155</v>
      </c>
      <c r="C14" s="110" t="n">
        <v>0.062</v>
      </c>
      <c r="D14" s="110" t="n">
        <v>0.008</v>
      </c>
      <c r="E14" s="110" t="n">
        <v>-0.005</v>
      </c>
      <c r="F14" s="84" t="n">
        <f aca="false">F13*(1+C14)</f>
        <v>315212.275654911</v>
      </c>
      <c r="G14" s="84" t="n">
        <f aca="false">G13*(1+D14)</f>
        <v>60068.4941029666</v>
      </c>
      <c r="H14" s="84" t="n">
        <f aca="false">H13*(1+E14)</f>
        <v>34168.6723643656</v>
      </c>
      <c r="I14" s="106" t="n">
        <f aca="false">F14+G14+H14</f>
        <v>409449.442122244</v>
      </c>
      <c r="J14" s="85" t="n">
        <v>0.015</v>
      </c>
      <c r="K14" s="103" t="n">
        <f aca="false">K13*(1+J14)</f>
        <v>1.3006693860017</v>
      </c>
      <c r="L14" s="98" t="n">
        <f aca="false">I14/K14</f>
        <v>314799.015436892</v>
      </c>
      <c r="M14" s="93" t="n">
        <f aca="false">I14*B14</f>
        <v>2110711.87414017</v>
      </c>
      <c r="N14" s="85" t="n">
        <v>0.02</v>
      </c>
      <c r="O14" s="103" t="n">
        <f aca="false">O13*(1+N14)</f>
        <v>1.47813581101874</v>
      </c>
      <c r="P14" s="100" t="n">
        <f aca="false">M14/O14</f>
        <v>1427955.30586966</v>
      </c>
    </row>
    <row r="16" customFormat="false" ht="21.75" hidden="false" customHeight="true" outlineLevel="0" collapsed="false">
      <c r="A16" s="81" t="s">
        <v>213</v>
      </c>
    </row>
    <row r="17" customFormat="false" ht="15" hidden="false" customHeight="false" outlineLevel="0" collapsed="false">
      <c r="A17" s="111" t="s">
        <v>214</v>
      </c>
      <c r="B17" s="112" t="n">
        <f aca="false">I14</f>
        <v>409449.442122244</v>
      </c>
      <c r="D17" s="111" t="s">
        <v>215</v>
      </c>
      <c r="E17" s="113" t="n">
        <f aca="false">M14</f>
        <v>2110711.87414017</v>
      </c>
    </row>
    <row r="18" customFormat="false" ht="15" hidden="false" customHeight="false" outlineLevel="0" collapsed="false">
      <c r="A18" s="111" t="s">
        <v>216</v>
      </c>
      <c r="B18" s="114" t="n">
        <v>200000</v>
      </c>
      <c r="D18" s="111" t="s">
        <v>217</v>
      </c>
      <c r="E18" s="115" t="n">
        <f aca="false">B18*B6</f>
        <v>774960</v>
      </c>
    </row>
    <row r="19" customFormat="false" ht="15" hidden="false" customHeight="false" outlineLevel="0" collapsed="false">
      <c r="A19" s="116" t="s">
        <v>218</v>
      </c>
      <c r="B19" s="117" t="n">
        <f aca="false">E17-E18</f>
        <v>1335751.87414017</v>
      </c>
      <c r="D19" s="118"/>
    </row>
    <row r="20" customFormat="false" ht="15" hidden="false" customHeight="false" outlineLevel="0" collapsed="false">
      <c r="A20" s="116" t="s">
        <v>219</v>
      </c>
      <c r="B20" s="117" t="n">
        <f aca="false">B19*0.15</f>
        <v>200362.781121025</v>
      </c>
      <c r="D20" s="118"/>
    </row>
    <row r="22" customFormat="false" ht="21.75" hidden="false" customHeight="true" outlineLevel="0" collapsed="false">
      <c r="A22" s="81" t="s">
        <v>220</v>
      </c>
    </row>
    <row r="23" customFormat="false" ht="15" hidden="false" customHeight="false" outlineLevel="0" collapsed="false">
      <c r="A23" s="111" t="s">
        <v>221</v>
      </c>
      <c r="B23" s="112" t="n">
        <f aca="false">L14</f>
        <v>314799.015436892</v>
      </c>
      <c r="D23" s="111" t="s">
        <v>222</v>
      </c>
      <c r="E23" s="113" t="n">
        <f aca="false">P14</f>
        <v>1427955.30586966</v>
      </c>
    </row>
    <row r="24" customFormat="false" ht="15" hidden="false" customHeight="false" outlineLevel="0" collapsed="false">
      <c r="A24" s="111" t="s">
        <v>223</v>
      </c>
      <c r="B24" s="114" t="n">
        <f aca="false">B18</f>
        <v>200000</v>
      </c>
      <c r="D24" s="111" t="s">
        <v>224</v>
      </c>
      <c r="E24" s="115" t="n">
        <f aca="false">E18</f>
        <v>774960</v>
      </c>
    </row>
    <row r="25" customFormat="false" ht="15" hidden="false" customHeight="false" outlineLevel="0" collapsed="false">
      <c r="A25" s="116" t="s">
        <v>225</v>
      </c>
      <c r="B25" s="117" t="n">
        <f aca="false">E23-E24</f>
        <v>652995.305869661</v>
      </c>
      <c r="D25" s="116" t="s">
        <v>226</v>
      </c>
      <c r="E25" s="119" t="n">
        <f aca="false">B23-B24</f>
        <v>114799.015436892</v>
      </c>
    </row>
    <row r="26" customFormat="false" ht="15" hidden="false" customHeight="false" outlineLevel="0" collapsed="false">
      <c r="A26" s="111" t="s">
        <v>227</v>
      </c>
      <c r="B26" s="115" t="n">
        <f aca="false">B20/O14</f>
        <v>135550.995806626</v>
      </c>
      <c r="D26" s="111" t="s">
        <v>228</v>
      </c>
      <c r="E26" s="114" t="n">
        <f aca="false">(B20/B14)/K14</f>
        <v>29882.812050219</v>
      </c>
    </row>
    <row r="27" customFormat="false" ht="15" hidden="false" customHeight="false" outlineLevel="0" collapsed="false">
      <c r="A27" s="116" t="s">
        <v>229</v>
      </c>
      <c r="B27" s="120" t="n">
        <f aca="false">E23-B26</f>
        <v>1292404.31006304</v>
      </c>
      <c r="D27" s="116" t="s">
        <v>230</v>
      </c>
      <c r="E27" s="121" t="n">
        <f aca="false">B23-E26</f>
        <v>284916.203386673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4"/>
    <col collapsed="false" customWidth="true" hidden="false" outlineLevel="0" max="2" min="2" style="0" width="6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8" min="6" style="0" width="16"/>
    <col collapsed="false" customWidth="true" hidden="false" outlineLevel="0" max="9" min="9" style="0" width="21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21"/>
    <col collapsed="false" customWidth="true" hidden="false" outlineLevel="0" max="14" min="14" style="0" width="18"/>
    <col collapsed="false" customWidth="true" hidden="false" outlineLevel="0" max="15" min="15" style="0" width="16"/>
    <col collapsed="false" customWidth="true" hidden="false" outlineLevel="0" max="16" min="16" style="0" width="18"/>
  </cols>
  <sheetData>
    <row r="1" customFormat="false" ht="15" hidden="false" customHeight="false" outlineLevel="0" collapsed="false">
      <c r="A1" s="79" t="s">
        <v>231</v>
      </c>
    </row>
    <row r="2" customFormat="false" ht="15" hidden="false" customHeight="false" outlineLevel="0" collapsed="false">
      <c r="A2" s="80" t="s">
        <v>232</v>
      </c>
    </row>
    <row r="4" customFormat="false" ht="19.5" hidden="false" customHeight="true" outlineLevel="0" collapsed="false">
      <c r="A4" s="81" t="s">
        <v>192</v>
      </c>
    </row>
    <row r="5" customFormat="false" ht="30" hidden="false" customHeight="true" outlineLevel="0" collapsed="false">
      <c r="A5" s="102" t="s">
        <v>79</v>
      </c>
      <c r="B5" s="102" t="s">
        <v>193</v>
      </c>
      <c r="C5" s="102" t="s">
        <v>194</v>
      </c>
      <c r="D5" s="102" t="s">
        <v>195</v>
      </c>
      <c r="E5" s="102" t="s">
        <v>196</v>
      </c>
      <c r="F5" s="102" t="s">
        <v>81</v>
      </c>
      <c r="G5" s="102" t="s">
        <v>82</v>
      </c>
      <c r="H5" s="102" t="s">
        <v>83</v>
      </c>
      <c r="I5" s="102" t="s">
        <v>197</v>
      </c>
      <c r="J5" s="102" t="s">
        <v>198</v>
      </c>
      <c r="K5" s="102" t="s">
        <v>199</v>
      </c>
      <c r="L5" s="102" t="s">
        <v>200</v>
      </c>
      <c r="M5" s="102" t="s">
        <v>201</v>
      </c>
      <c r="N5" s="102" t="s">
        <v>202</v>
      </c>
      <c r="O5" s="102" t="s">
        <v>203</v>
      </c>
      <c r="P5" s="102" t="s">
        <v>204</v>
      </c>
    </row>
    <row r="6" customFormat="false" ht="19.5" hidden="false" customHeight="true" outlineLevel="0" collapsed="false">
      <c r="A6" s="83" t="s">
        <v>88</v>
      </c>
      <c r="B6" s="103" t="n">
        <v>3.8748</v>
      </c>
      <c r="C6" s="104"/>
      <c r="D6" s="104"/>
      <c r="E6" s="104"/>
      <c r="F6" s="105" t="n">
        <v>120000</v>
      </c>
      <c r="G6" s="105" t="n">
        <v>50000</v>
      </c>
      <c r="H6" s="105" t="n">
        <v>30000</v>
      </c>
      <c r="I6" s="106" t="n">
        <f aca="false">F6+G6+H6</f>
        <v>200000</v>
      </c>
      <c r="J6" s="85" t="n">
        <v>0</v>
      </c>
      <c r="K6" s="103" t="n">
        <v>1</v>
      </c>
      <c r="L6" s="98" t="n">
        <f aca="false">I6/K6</f>
        <v>200000</v>
      </c>
      <c r="M6" s="93" t="n">
        <f aca="false">I6*B6</f>
        <v>774960</v>
      </c>
      <c r="N6" s="85" t="n">
        <v>0</v>
      </c>
      <c r="O6" s="103" t="n">
        <v>1</v>
      </c>
      <c r="P6" s="100" t="n">
        <f aca="false">M6/O6</f>
        <v>774960</v>
      </c>
    </row>
    <row r="7" customFormat="false" ht="19.5" hidden="false" customHeight="true" outlineLevel="0" collapsed="false">
      <c r="A7" s="87" t="s">
        <v>205</v>
      </c>
      <c r="B7" s="107" t="n">
        <v>4.0307</v>
      </c>
      <c r="C7" s="108" t="n">
        <v>0.266</v>
      </c>
      <c r="D7" s="108" t="n">
        <v>0.084</v>
      </c>
      <c r="E7" s="108" t="n">
        <v>0.082</v>
      </c>
      <c r="F7" s="101" t="n">
        <f aca="false">F6*(1+C7)</f>
        <v>151920</v>
      </c>
      <c r="G7" s="101" t="n">
        <f aca="false">G6*(1+D7)</f>
        <v>54200</v>
      </c>
      <c r="H7" s="101" t="n">
        <f aca="false">H6*(1+E7)</f>
        <v>32460</v>
      </c>
      <c r="I7" s="96" t="n">
        <f aca="false">F7+G7+H7</f>
        <v>238580</v>
      </c>
      <c r="J7" s="89" t="n">
        <v>0.0181</v>
      </c>
      <c r="K7" s="107" t="n">
        <f aca="false">K6*(1+J7)</f>
        <v>1.0181</v>
      </c>
      <c r="L7" s="98" t="n">
        <f aca="false">I7/K7</f>
        <v>234338.473627345</v>
      </c>
      <c r="M7" s="109" t="n">
        <f aca="false">I7*B7</f>
        <v>961644.406</v>
      </c>
      <c r="N7" s="89" t="n">
        <v>0.0431</v>
      </c>
      <c r="O7" s="107" t="n">
        <f aca="false">O6*(1+N7)</f>
        <v>1.0431</v>
      </c>
      <c r="P7" s="100" t="n">
        <f aca="false">M7/O7</f>
        <v>921910.081487873</v>
      </c>
    </row>
    <row r="8" customFormat="false" ht="19.5" hidden="false" customHeight="true" outlineLevel="0" collapsed="false">
      <c r="A8" s="83" t="s">
        <v>206</v>
      </c>
      <c r="B8" s="103" t="n">
        <v>5.1967</v>
      </c>
      <c r="C8" s="110" t="n">
        <v>0.162</v>
      </c>
      <c r="D8" s="110" t="n">
        <v>0.11</v>
      </c>
      <c r="E8" s="110" t="n">
        <v>0.056</v>
      </c>
      <c r="F8" s="84" t="n">
        <f aca="false">F7*(1+C8)</f>
        <v>176531.04</v>
      </c>
      <c r="G8" s="84" t="n">
        <f aca="false">G7*(1+D8)</f>
        <v>60162</v>
      </c>
      <c r="H8" s="84" t="n">
        <f aca="false">H7*(1+E8)</f>
        <v>34277.76</v>
      </c>
      <c r="I8" s="106" t="n">
        <f aca="false">F8+G8+H8</f>
        <v>270970.8</v>
      </c>
      <c r="J8" s="85" t="n">
        <v>0.0136</v>
      </c>
      <c r="K8" s="103" t="n">
        <f aca="false">K7*(1+J8)</f>
        <v>1.03194616</v>
      </c>
      <c r="L8" s="98" t="n">
        <f aca="false">I8/K8</f>
        <v>262582.303712434</v>
      </c>
      <c r="M8" s="93" t="n">
        <f aca="false">I8*B8</f>
        <v>1408153.95636</v>
      </c>
      <c r="N8" s="85" t="n">
        <v>0.0452</v>
      </c>
      <c r="O8" s="103" t="n">
        <f aca="false">O7*(1+N8)</f>
        <v>1.09024812</v>
      </c>
      <c r="P8" s="100" t="n">
        <f aca="false">M8/O8</f>
        <v>1291590.3550102</v>
      </c>
    </row>
    <row r="9" customFormat="false" ht="19.5" hidden="false" customHeight="true" outlineLevel="0" collapsed="false">
      <c r="A9" s="87" t="s">
        <v>233</v>
      </c>
      <c r="B9" s="107" t="n">
        <v>5.5805</v>
      </c>
      <c r="C9" s="108" t="n">
        <v>0.185</v>
      </c>
      <c r="D9" s="108" t="n">
        <v>0.06</v>
      </c>
      <c r="E9" s="108" t="n">
        <v>-0.014</v>
      </c>
      <c r="F9" s="101" t="n">
        <f aca="false">F8*(1+C9)</f>
        <v>209189.2824</v>
      </c>
      <c r="G9" s="101" t="n">
        <f aca="false">G8*(1+D9)</f>
        <v>63771.72</v>
      </c>
      <c r="H9" s="101" t="n">
        <f aca="false">H8*(1+E9)</f>
        <v>33797.87136</v>
      </c>
      <c r="I9" s="96" t="n">
        <f aca="false">F9+G9+H9</f>
        <v>306758.87376</v>
      </c>
      <c r="J9" s="89" t="n">
        <v>0.047</v>
      </c>
      <c r="K9" s="107" t="n">
        <f aca="false">K8*(1+J9)</f>
        <v>1.08044762952</v>
      </c>
      <c r="L9" s="98" t="n">
        <f aca="false">I9/K9</f>
        <v>283918.318092179</v>
      </c>
      <c r="M9" s="109" t="n">
        <f aca="false">I9*B9</f>
        <v>1711867.89501768</v>
      </c>
      <c r="N9" s="89" t="n">
        <v>0.1006</v>
      </c>
      <c r="O9" s="107" t="n">
        <f aca="false">O8*(1+N9)</f>
        <v>1.199927080872</v>
      </c>
      <c r="P9" s="100" t="n">
        <f aca="false">M9/O9</f>
        <v>1426643.27050078</v>
      </c>
    </row>
    <row r="10" customFormat="false" ht="19.5" hidden="false" customHeight="true" outlineLevel="0" collapsed="false">
      <c r="A10" s="83" t="s">
        <v>234</v>
      </c>
      <c r="B10" s="103" t="n">
        <v>5.5805</v>
      </c>
      <c r="C10" s="104"/>
      <c r="D10" s="104"/>
      <c r="E10" s="104"/>
      <c r="F10" s="84" t="n">
        <v>184055.32</v>
      </c>
      <c r="G10" s="84" t="n">
        <v>76689.72</v>
      </c>
      <c r="H10" s="84" t="n">
        <v>46013.83</v>
      </c>
      <c r="I10" s="106" t="n">
        <f aca="false">F10+G10+H10</f>
        <v>306758.87</v>
      </c>
      <c r="J10" s="85" t="n">
        <v>0</v>
      </c>
      <c r="K10" s="103" t="n">
        <f aca="false">K9</f>
        <v>1.08044762952</v>
      </c>
      <c r="L10" s="98" t="n">
        <f aca="false">I10/K10</f>
        <v>283918.31461214</v>
      </c>
      <c r="M10" s="93" t="n">
        <f aca="false">I10*B10</f>
        <v>1711867.874035</v>
      </c>
      <c r="N10" s="85" t="n">
        <v>0</v>
      </c>
      <c r="O10" s="103" t="n">
        <f aca="false">O9</f>
        <v>1.199927080872</v>
      </c>
      <c r="P10" s="100" t="n">
        <f aca="false">M10/O10</f>
        <v>1426643.25301415</v>
      </c>
    </row>
    <row r="11" customFormat="false" ht="19.5" hidden="false" customHeight="true" outlineLevel="0" collapsed="false">
      <c r="A11" s="87" t="s">
        <v>208</v>
      </c>
      <c r="B11" s="107" t="n">
        <v>5.2177</v>
      </c>
      <c r="C11" s="108" t="n">
        <v>-0.1807</v>
      </c>
      <c r="D11" s="108" t="n">
        <v>-0.127</v>
      </c>
      <c r="E11" s="108" t="n">
        <v>-0.103</v>
      </c>
      <c r="F11" s="101" t="n">
        <f aca="false">F10*(1+C11)</f>
        <v>150796.523676</v>
      </c>
      <c r="G11" s="101" t="n">
        <f aca="false">G10*(1+D11)</f>
        <v>66950.12556</v>
      </c>
      <c r="H11" s="101" t="n">
        <f aca="false">H10*(1+E11)</f>
        <v>41274.40551</v>
      </c>
      <c r="I11" s="96" t="n">
        <f aca="false">F11+G11+H11</f>
        <v>259021.054746</v>
      </c>
      <c r="J11" s="89" t="n">
        <v>0.08</v>
      </c>
      <c r="K11" s="107" t="n">
        <f aca="false">K10*(1+J11)</f>
        <v>1.1668834398816</v>
      </c>
      <c r="L11" s="98" t="n">
        <f aca="false">I11/K11</f>
        <v>221976.802389348</v>
      </c>
      <c r="M11" s="109" t="n">
        <f aca="false">I11*B11</f>
        <v>1351494.1573482</v>
      </c>
      <c r="N11" s="89" t="n">
        <v>0.0579</v>
      </c>
      <c r="O11" s="107" t="n">
        <f aca="false">O10*(1+N11)</f>
        <v>1.26940285885449</v>
      </c>
      <c r="P11" s="100" t="n">
        <f aca="false">M11/O11</f>
        <v>1064669.2245264</v>
      </c>
    </row>
    <row r="12" customFormat="false" ht="19.5" hidden="false" customHeight="true" outlineLevel="0" collapsed="false">
      <c r="A12" s="83" t="s">
        <v>209</v>
      </c>
      <c r="B12" s="103" t="n">
        <v>4.8413</v>
      </c>
      <c r="C12" s="110" t="n">
        <v>0.222</v>
      </c>
      <c r="D12" s="110" t="n">
        <v>0.039</v>
      </c>
      <c r="E12" s="110" t="n">
        <v>0.071</v>
      </c>
      <c r="F12" s="84" t="n">
        <f aca="false">F11*(1+C12)</f>
        <v>184273.351932072</v>
      </c>
      <c r="G12" s="84" t="n">
        <f aca="false">G11*(1+D12)</f>
        <v>69561.18045684</v>
      </c>
      <c r="H12" s="84" t="n">
        <f aca="false">H11*(1+E12)</f>
        <v>44204.88830121</v>
      </c>
      <c r="I12" s="106" t="n">
        <f aca="false">F12+G12+H12</f>
        <v>298039.420690122</v>
      </c>
      <c r="J12" s="85" t="n">
        <v>0.0412</v>
      </c>
      <c r="K12" s="103" t="n">
        <f aca="false">K11*(1+J12)</f>
        <v>1.21495903760472</v>
      </c>
      <c r="L12" s="98" t="n">
        <f aca="false">I12/K12</f>
        <v>245308.205022042</v>
      </c>
      <c r="M12" s="93" t="n">
        <f aca="false">I12*B12</f>
        <v>1442898.24738709</v>
      </c>
      <c r="N12" s="85" t="n">
        <v>0.0462</v>
      </c>
      <c r="O12" s="103" t="n">
        <f aca="false">O11*(1+N12)</f>
        <v>1.32804927093357</v>
      </c>
      <c r="P12" s="100" t="n">
        <f aca="false">M12/O12</f>
        <v>1086479.45446541</v>
      </c>
    </row>
    <row r="13" customFormat="false" ht="19.5" hidden="false" customHeight="true" outlineLevel="0" collapsed="false">
      <c r="A13" s="87" t="s">
        <v>210</v>
      </c>
      <c r="B13" s="107" t="n">
        <v>4.8023</v>
      </c>
      <c r="C13" s="108" t="n">
        <v>0.201</v>
      </c>
      <c r="D13" s="108" t="n">
        <v>0.012</v>
      </c>
      <c r="E13" s="108" t="n">
        <v>0.042</v>
      </c>
      <c r="F13" s="101" t="n">
        <f aca="false">F12*(1+C13)</f>
        <v>221312.295670419</v>
      </c>
      <c r="G13" s="101" t="n">
        <f aca="false">G12*(1+D13)</f>
        <v>70395.9146223221</v>
      </c>
      <c r="H13" s="101" t="n">
        <f aca="false">H12*(1+E13)</f>
        <v>46061.4936098608</v>
      </c>
      <c r="I13" s="96" t="n">
        <f aca="false">F13+G13+H13</f>
        <v>337769.703902601</v>
      </c>
      <c r="J13" s="89" t="n">
        <v>0.029</v>
      </c>
      <c r="K13" s="107" t="n">
        <f aca="false">K12*(1+J13)</f>
        <v>1.25019284969526</v>
      </c>
      <c r="L13" s="98" t="n">
        <f aca="false">I13/K13</f>
        <v>270174.080730773</v>
      </c>
      <c r="M13" s="109" t="n">
        <f aca="false">I13*B13</f>
        <v>1622071.44905146</v>
      </c>
      <c r="N13" s="89" t="n">
        <v>0.0442</v>
      </c>
      <c r="O13" s="107" t="n">
        <f aca="false">O12*(1+N13)</f>
        <v>1.38674904870883</v>
      </c>
      <c r="P13" s="100" t="n">
        <f aca="false">M13/O13</f>
        <v>1169693.57257662</v>
      </c>
    </row>
    <row r="14" customFormat="false" ht="19.5" hidden="false" customHeight="true" outlineLevel="0" collapsed="false">
      <c r="A14" s="83" t="s">
        <v>211</v>
      </c>
      <c r="B14" s="103" t="n">
        <v>4.9045</v>
      </c>
      <c r="C14" s="110" t="n">
        <v>0.18</v>
      </c>
      <c r="D14" s="110" t="n">
        <v>0.018</v>
      </c>
      <c r="E14" s="110" t="n">
        <v>0.015</v>
      </c>
      <c r="F14" s="84" t="n">
        <f aca="false">F13*(1+C14)</f>
        <v>261148.508891094</v>
      </c>
      <c r="G14" s="84" t="n">
        <f aca="false">G13*(1+D14)</f>
        <v>71663.0410855239</v>
      </c>
      <c r="H14" s="84" t="n">
        <f aca="false">H13*(1+E14)</f>
        <v>46752.4160140087</v>
      </c>
      <c r="I14" s="106" t="n">
        <f aca="false">F14+G14+H14</f>
        <v>379563.965990626</v>
      </c>
      <c r="J14" s="85" t="n">
        <v>0.025</v>
      </c>
      <c r="K14" s="103" t="n">
        <f aca="false">K13*(1+J14)</f>
        <v>1.28144767093764</v>
      </c>
      <c r="L14" s="98" t="n">
        <f aca="false">I14/K14</f>
        <v>296199.349063468</v>
      </c>
      <c r="M14" s="93" t="n">
        <f aca="false">I14*B14</f>
        <v>1861571.47120103</v>
      </c>
      <c r="N14" s="85" t="n">
        <v>0.045</v>
      </c>
      <c r="O14" s="103" t="n">
        <f aca="false">O13*(1+N14)</f>
        <v>1.44915275590073</v>
      </c>
      <c r="P14" s="100" t="n">
        <f aca="false">M14/O14</f>
        <v>1284592.9896769</v>
      </c>
    </row>
    <row r="15" customFormat="false" ht="19.5" hidden="false" customHeight="true" outlineLevel="0" collapsed="false">
      <c r="A15" s="87" t="s">
        <v>212</v>
      </c>
      <c r="B15" s="107" t="n">
        <v>5.155</v>
      </c>
      <c r="C15" s="108" t="n">
        <v>0.062</v>
      </c>
      <c r="D15" s="108" t="n">
        <v>0.008</v>
      </c>
      <c r="E15" s="108" t="n">
        <v>-0.005</v>
      </c>
      <c r="F15" s="101" t="n">
        <f aca="false">F14*(1+C15)</f>
        <v>277339.716442342</v>
      </c>
      <c r="G15" s="101" t="n">
        <f aca="false">G14*(1+D15)</f>
        <v>72236.3454142081</v>
      </c>
      <c r="H15" s="101" t="n">
        <f aca="false">H14*(1+E15)</f>
        <v>46518.6539339387</v>
      </c>
      <c r="I15" s="96" t="n">
        <f aca="false">F15+G15+H15</f>
        <v>396094.715790488</v>
      </c>
      <c r="J15" s="89" t="n">
        <v>0.015</v>
      </c>
      <c r="K15" s="107" t="n">
        <f aca="false">K14*(1+J15)</f>
        <v>1.3006693860017</v>
      </c>
      <c r="L15" s="98" t="n">
        <f aca="false">I15/K15</f>
        <v>304531.435930921</v>
      </c>
      <c r="M15" s="109" t="n">
        <f aca="false">I15*B15</f>
        <v>2041868.25989997</v>
      </c>
      <c r="N15" s="89" t="n">
        <v>0.02</v>
      </c>
      <c r="O15" s="107" t="n">
        <f aca="false">O14*(1+N15)</f>
        <v>1.47813581101874</v>
      </c>
      <c r="P15" s="100" t="n">
        <f aca="false">M15/O15</f>
        <v>1381380.68550866</v>
      </c>
    </row>
    <row r="17" customFormat="false" ht="21.75" hidden="false" customHeight="true" outlineLevel="0" collapsed="false">
      <c r="A17" s="81" t="s">
        <v>235</v>
      </c>
    </row>
    <row r="18" customFormat="false" ht="15" hidden="false" customHeight="false" outlineLevel="0" collapsed="false">
      <c r="A18" s="111" t="s">
        <v>236</v>
      </c>
      <c r="B18" s="112" t="n">
        <f aca="false">F9-F10</f>
        <v>25133.9624</v>
      </c>
      <c r="D18" s="111" t="s">
        <v>237</v>
      </c>
      <c r="E18" s="122" t="n">
        <f aca="false">B18/F9</f>
        <v>0.120149379125171</v>
      </c>
    </row>
    <row r="19" customFormat="false" ht="15" hidden="false" customHeight="false" outlineLevel="0" collapsed="false">
      <c r="A19" s="111" t="s">
        <v>238</v>
      </c>
      <c r="B19" s="115" t="n">
        <f aca="false">(F6*B6)*E18</f>
        <v>55866.5777081053</v>
      </c>
      <c r="D19" s="111" t="s">
        <v>239</v>
      </c>
      <c r="E19" s="113" t="n">
        <f aca="false">B18*B9</f>
        <v>140260.0771732</v>
      </c>
    </row>
    <row r="20" customFormat="false" ht="15" hidden="false" customHeight="false" outlineLevel="0" collapsed="false">
      <c r="A20" s="116" t="s">
        <v>240</v>
      </c>
      <c r="B20" s="117" t="n">
        <f aca="false">E19-B19</f>
        <v>84393.4994650946</v>
      </c>
      <c r="D20" s="116" t="s">
        <v>241</v>
      </c>
      <c r="E20" s="117" t="n">
        <f aca="false">B20*0.15</f>
        <v>12659.0249197642</v>
      </c>
    </row>
    <row r="22" customFormat="false" ht="21.75" hidden="false" customHeight="true" outlineLevel="0" collapsed="false">
      <c r="A22" s="81" t="s">
        <v>242</v>
      </c>
    </row>
    <row r="23" customFormat="false" ht="15" hidden="false" customHeight="false" outlineLevel="0" collapsed="false">
      <c r="A23" s="111" t="s">
        <v>214</v>
      </c>
      <c r="B23" s="112" t="n">
        <f aca="false">I15</f>
        <v>396094.715790488</v>
      </c>
      <c r="D23" s="111" t="s">
        <v>215</v>
      </c>
      <c r="E23" s="113" t="n">
        <f aca="false">M15</f>
        <v>2041868.25989997</v>
      </c>
    </row>
    <row r="24" customFormat="false" ht="15" hidden="false" customHeight="false" outlineLevel="0" collapsed="false">
      <c r="A24" s="111" t="s">
        <v>243</v>
      </c>
      <c r="B24" s="113" t="n">
        <f aca="false">((F6*B6)-B19) + ((G6*B6)+(G10-G9)*B10) + ((H6*B6)+(H10-H9)*B10)</f>
        <v>859353.478482415</v>
      </c>
      <c r="D24" s="111" t="s">
        <v>216</v>
      </c>
      <c r="E24" s="114" t="n">
        <v>200000</v>
      </c>
    </row>
    <row r="25" customFormat="false" ht="15" hidden="false" customHeight="false" outlineLevel="0" collapsed="false">
      <c r="A25" s="116" t="s">
        <v>244</v>
      </c>
      <c r="B25" s="117" t="n">
        <f aca="false">E23-B24</f>
        <v>1182514.78141755</v>
      </c>
      <c r="D25" s="118"/>
    </row>
    <row r="26" customFormat="false" ht="15" hidden="false" customHeight="false" outlineLevel="0" collapsed="false">
      <c r="A26" s="116" t="s">
        <v>245</v>
      </c>
      <c r="B26" s="117" t="n">
        <f aca="false">B25*0.15</f>
        <v>177377.217212633</v>
      </c>
      <c r="D26" s="116" t="s">
        <v>246</v>
      </c>
      <c r="E26" s="117" t="n">
        <f aca="false">E20+B26</f>
        <v>190036.242132397</v>
      </c>
    </row>
    <row r="28" customFormat="false" ht="21.75" hidden="false" customHeight="true" outlineLevel="0" collapsed="false">
      <c r="A28" s="81" t="s">
        <v>247</v>
      </c>
    </row>
    <row r="29" customFormat="false" ht="15" hidden="false" customHeight="false" outlineLevel="0" collapsed="false">
      <c r="A29" s="111" t="s">
        <v>221</v>
      </c>
      <c r="B29" s="112" t="n">
        <f aca="false">L15</f>
        <v>304531.435930921</v>
      </c>
      <c r="D29" s="111" t="s">
        <v>222</v>
      </c>
      <c r="E29" s="113" t="n">
        <f aca="false">P15</f>
        <v>1381380.68550866</v>
      </c>
    </row>
    <row r="30" customFormat="false" ht="15" hidden="false" customHeight="false" outlineLevel="0" collapsed="false">
      <c r="A30" s="111" t="s">
        <v>223</v>
      </c>
      <c r="B30" s="114" t="n">
        <f aca="false">E24</f>
        <v>200000</v>
      </c>
      <c r="D30" s="111" t="s">
        <v>224</v>
      </c>
      <c r="E30" s="115" t="n">
        <f aca="false">E24*B6</f>
        <v>774960</v>
      </c>
    </row>
    <row r="31" customFormat="false" ht="15" hidden="false" customHeight="false" outlineLevel="0" collapsed="false">
      <c r="A31" s="116" t="s">
        <v>225</v>
      </c>
      <c r="B31" s="117" t="n">
        <f aca="false">E29-E30</f>
        <v>606420.68550866</v>
      </c>
      <c r="D31" s="116" t="s">
        <v>226</v>
      </c>
      <c r="E31" s="119" t="n">
        <f aca="false">B29-B30</f>
        <v>104531.435930921</v>
      </c>
    </row>
    <row r="32" customFormat="false" ht="15" hidden="false" customHeight="false" outlineLevel="0" collapsed="false">
      <c r="A32" s="111" t="s">
        <v>248</v>
      </c>
      <c r="B32" s="115" t="n">
        <f aca="false">(E20/O9)+(B26/O15)</f>
        <v>130550.45083482</v>
      </c>
      <c r="D32" s="111" t="s">
        <v>249</v>
      </c>
      <c r="E32" s="114" t="n">
        <f aca="false">((E20/B10)/K9)+((B26/B15)/K15)</f>
        <v>28554.2004186582</v>
      </c>
    </row>
    <row r="33" customFormat="false" ht="15" hidden="false" customHeight="false" outlineLevel="0" collapsed="false">
      <c r="A33" s="116" t="s">
        <v>229</v>
      </c>
      <c r="B33" s="120" t="n">
        <f aca="false">E29-B32</f>
        <v>1250830.23467384</v>
      </c>
      <c r="D33" s="116" t="s">
        <v>230</v>
      </c>
      <c r="E33" s="121" t="n">
        <f aca="false">B29-E32</f>
        <v>275977.235512263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2026-08-10T19:56:05Z</dcterms:created>
  <dc:creator>openpyxl</dc:creator>
  <dc:description/>
  <dc:language>en-US</dc:language>
  <cp:lastModifiedBy/>
  <dcterms:modified xsi:type="dcterms:W3CDTF">2026-08-10T19:56:07Z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